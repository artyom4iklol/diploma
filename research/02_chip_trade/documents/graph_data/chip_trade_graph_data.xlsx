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e81d0544d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главление" sheetId="1" r:id="Rbbe42cf761be4147"/>
    <x:sheet xmlns:r="http://schemas.openxmlformats.org/officeDocument/2006/relationships" name="1_1_Цепочка" sheetId="2" r:id="R6b36841c116042c2"/>
    <x:sheet xmlns:r="http://schemas.openxmlformats.org/officeDocument/2006/relationships" name="1_2_Механизм" sheetId="3" r:id="Rc321ac812f93495a"/>
    <x:sheet xmlns:r="http://schemas.openxmlformats.org/officeDocument/2006/relationships" name="1_3_Учебный_пример" sheetId="4" r:id="R1032bbadb2e84bfe"/>
    <x:sheet xmlns:r="http://schemas.openxmlformats.org/officeDocument/2006/relationships" name="2_01_Экспорт" sheetId="5" r:id="R012520ad6ee2463a"/>
    <x:sheet xmlns:r="http://schemas.openxmlformats.org/officeDocument/2006/relationships" name="2_02_Товарные_индексы" sheetId="6" r:id="R440c9bfab3bc4733"/>
    <x:sheet xmlns:r="http://schemas.openxmlformats.org/officeDocument/2006/relationships" name="2_03_Товарные_доли" sheetId="7" r:id="R196a85c7913c44d8"/>
    <x:sheet xmlns:r="http://schemas.openxmlformats.org/officeDocument/2006/relationships" name="2_04_Прирост_экспорта" sheetId="8" r:id="R426429a8d36b4868"/>
    <x:sheet xmlns:r="http://schemas.openxmlformats.org/officeDocument/2006/relationships" name="2_05_Концентрация" sheetId="9" r:id="Rf50e29c31a0c4b41"/>
    <x:sheet xmlns:r="http://schemas.openxmlformats.org/officeDocument/2006/relationships" name="2_06_Рынки_2017_2024" sheetId="10" r:id="Rf04f4a7c9d1e4d4b"/>
    <x:sheet xmlns:r="http://schemas.openxmlformats.org/officeDocument/2006/relationships" name="2_07_Товар_рынок" sheetId="11" r:id="Ra6856d2f2cee45d8"/>
    <x:sheet xmlns:r="http://schemas.openxmlformats.org/officeDocument/2006/relationships" name="2_08_Эпизоды" sheetId="12" r:id="R831178c8f981469b"/>
    <x:sheet xmlns:r="http://schemas.openxmlformats.org/officeDocument/2006/relationships" name="2_09_Четыре_структуры" sheetId="13" r:id="R1c4dc7cfc20f46bd"/>
    <x:sheet xmlns:r="http://schemas.openxmlformats.org/officeDocument/2006/relationships" name="2_10_Шепли" sheetId="14" r:id="R10c91169cb6846bb"/>
    <x:sheet xmlns:r="http://schemas.openxmlformats.org/officeDocument/2006/relationships" name="2_11_Память_и_состав" sheetId="15" r:id="R215aa4d2227c45ed"/>
    <x:sheet xmlns:r="http://schemas.openxmlformats.org/officeDocument/2006/relationships" name="2_12_Ковариации" sheetId="16" r:id="R8db62a837c2e4472"/>
    <x:sheet xmlns:r="http://schemas.openxmlformats.org/officeDocument/2006/relationships" name="2_13_Вклады_направлений" sheetId="17" r:id="Refdfe13ed8254676"/>
    <x:sheet xmlns:r="http://schemas.openxmlformats.org/officeDocument/2006/relationships" name="2_14_Исключение_года" sheetId="18" r:id="R8c99352cf11444b2"/>
    <x:sheet xmlns:r="http://schemas.openxmlformats.org/officeDocument/2006/relationships" name="3_1_Сценарии_памяти" sheetId="19" r:id="R418c9d40004f4e6c"/>
    <x:sheet xmlns:r="http://schemas.openxmlformats.org/officeDocument/2006/relationships" name="3_2_Масштаб_расширения" sheetId="20" r:id="Re113114b9f0242f9"/>
    <x:sheet xmlns:r="http://schemas.openxmlformats.org/officeDocument/2006/relationships" name="3_3_Выбор_рынка" sheetId="21" r:id="Rf4031ca1a3384205"/>
    <x:sheet xmlns:r="http://schemas.openxmlformats.org/officeDocument/2006/relationships" name="3_4_Рост_по_ячейкам" sheetId="22" r:id="Rcaf8f80dff294ba1"/>
    <x:sheet xmlns:r="http://schemas.openxmlformats.org/officeDocument/2006/relationships" name="3_5_Этапы_проекта" sheetId="23" r:id="Rf1cf00b57c5c44ee"/>
    <x:sheet xmlns:r="http://schemas.openxmlformats.org/officeDocument/2006/relationships" name="ПА_Рост_товаров" sheetId="24" r:id="Rda394a91e315467a"/>
    <x:sheet xmlns:r="http://schemas.openxmlformats.org/officeDocument/2006/relationships" name="ПБ_Корреляции" sheetId="25" r:id="Rf99966de6b684409"/>
    <x:sheet xmlns:r="http://schemas.openxmlformats.org/officeDocument/2006/relationships" name="ПВ_Условные_индексы" sheetId="26" r:id="R443612274ead4294"/>
    <x:sheet xmlns:r="http://schemas.openxmlformats.org/officeDocument/2006/relationships" name="ПГ_Потоки_2024" sheetId="27" r:id="R66f7c0b49cf14b9d"/>
    <x:sheet xmlns:r="http://schemas.openxmlformats.org/officeDocument/2006/relationships" name="ПД_Блоки_бутстрэпа" sheetId="28" r:id="R76648647765645be"/>
    <x:sheet xmlns:r="http://schemas.openxmlformats.org/officeDocument/2006/relationships" name="ПЕ_Окна_ковариации" sheetId="29" r:id="Rccb0529b9aaa4968"/>
    <x:sheet xmlns:r="http://schemas.openxmlformats.org/officeDocument/2006/relationships" name="ПЖ_Память_по_окнам" sheetId="30" r:id="R9eccd7cd760f4726"/>
    <x:sheet xmlns:r="http://schemas.openxmlformats.org/officeDocument/2006/relationships" name="ПЗ_Сверка_годовых" sheetId="31" r:id="R6f02e77987264b6d"/>
    <x:sheet xmlns:r="http://schemas.openxmlformats.org/officeDocument/2006/relationships" name="Данные" sheetId="32" r:id="Ra9d160b7bf0540af"/>
    <x:sheet xmlns:r="http://schemas.openxmlformats.org/officeDocument/2006/relationships" name="Месяцы_товары" sheetId="33" r:id="Rd051ae8cf3b94b2b"/>
    <x:sheet xmlns:r="http://schemas.openxmlformats.org/officeDocument/2006/relationships" name="Месяцы_рынки" sheetId="34" r:id="R3bfda47bca9f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0"/>
    <x:numFmt numFmtId="202" formatCode="#,##0.00;[Black]-#,##0.00;0.00"/>
    <x:numFmt numFmtId="203" formatCode="yyyy-mm"/>
    <x:numFmt numFmtId="204" formatCode="0.0%;[Black]-0.0%;0.0%"/>
    <x:numFmt numFmtId="205" formatCode="0.0000"/>
    <x:numFmt numFmtId="206" formatCode="0.000"/>
    <x:numFmt numFmtId="207" formatCode="0.000%"/>
  </x:numFmts>
  <x:fonts count="6">
    <x:font>
      <x:sz val="11"/>
      <x:name val="Carlito"/>
    </x:font>
    <x:font>
      <x:sz val="11"/>
      <x:color rgb="FF111111"/>
      <x:name val="Arial"/>
    </x:font>
    <x:font>
      <x:b/>
      <x:sz val="15"/>
      <x:color rgb="FF111111"/>
      <x:name val="Arial"/>
    </x:font>
    <x:font>
      <x:i/>
      <x:sz val="11"/>
      <x:color rgb="FF444444"/>
      <x:name val="Arial"/>
    </x:font>
    <x:font>
      <x:sz val="11"/>
      <x:color rgb="FF555555"/>
      <x:name val="Arial"/>
    </x:font>
    <x:font>
      <x:b/>
      <x:sz val="11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777777"/>
      </x:bottom>
      <x:diagonal/>
    </x:border>
    <x:border>
      <x:left/>
      <x:right/>
      <x:top/>
      <x:bottom style="thin">
        <x:color rgb="FF555555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left"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  <x:xf numFmtId="206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7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f76800ab64542" /><Relationship Type="http://schemas.openxmlformats.org/officeDocument/2006/relationships/theme" Target="/xl/theme/theme1.xml" Id="R297b0bc9a9a349f3" /><Relationship Type="http://schemas.microsoft.com/office/2022/11/relationships/FeaturePropertyBag" Target="/xl/featurePropertyBag/featurePropertyBag.xml" Id="R727166c4d2464d28" /><Relationship Type="http://schemas.openxmlformats.org/officeDocument/2006/relationships/sharedStrings" Target="/xl/sharedStrings.xml" Id="Rcc554cc2bf214824" /><Relationship Type="http://schemas.openxmlformats.org/officeDocument/2006/relationships/worksheet" Target="/xl/worksheets/sheet1.xml" Id="Rbbe42cf761be4147" /><Relationship Type="http://schemas.openxmlformats.org/officeDocument/2006/relationships/worksheet" Target="/xl/worksheets/sheet2.xml" Id="R6b36841c116042c2" /><Relationship Type="http://schemas.openxmlformats.org/officeDocument/2006/relationships/worksheet" Target="/xl/worksheets/sheet3.xml" Id="Rc321ac812f93495a" /><Relationship Type="http://schemas.openxmlformats.org/officeDocument/2006/relationships/worksheet" Target="/xl/worksheets/sheet4.xml" Id="R1032bbadb2e84bfe" /><Relationship Type="http://schemas.openxmlformats.org/officeDocument/2006/relationships/worksheet" Target="/xl/worksheets/sheet5.xml" Id="R012520ad6ee2463a" /><Relationship Type="http://schemas.openxmlformats.org/officeDocument/2006/relationships/worksheet" Target="/xl/worksheets/sheet6.xml" Id="R440c9bfab3bc4733" /><Relationship Type="http://schemas.openxmlformats.org/officeDocument/2006/relationships/worksheet" Target="/xl/worksheets/sheet7.xml" Id="R196a85c7913c44d8" /><Relationship Type="http://schemas.openxmlformats.org/officeDocument/2006/relationships/worksheet" Target="/xl/worksheets/sheet8.xml" Id="R426429a8d36b4868" /><Relationship Type="http://schemas.openxmlformats.org/officeDocument/2006/relationships/worksheet" Target="/xl/worksheets/sheet9.xml" Id="Rf50e29c31a0c4b41" /><Relationship Type="http://schemas.openxmlformats.org/officeDocument/2006/relationships/worksheet" Target="/xl/worksheets/sheet10.xml" Id="Rf04f4a7c9d1e4d4b" /><Relationship Type="http://schemas.openxmlformats.org/officeDocument/2006/relationships/worksheet" Target="/xl/worksheets/sheet11.xml" Id="Ra6856d2f2cee45d8" /><Relationship Type="http://schemas.openxmlformats.org/officeDocument/2006/relationships/worksheet" Target="/xl/worksheets/sheet12.xml" Id="R831178c8f981469b" /><Relationship Type="http://schemas.openxmlformats.org/officeDocument/2006/relationships/worksheet" Target="/xl/worksheets/sheet13.xml" Id="R1c4dc7cfc20f46bd" /><Relationship Type="http://schemas.openxmlformats.org/officeDocument/2006/relationships/worksheet" Target="/xl/worksheets/sheet14.xml" Id="R10c91169cb6846bb" /><Relationship Type="http://schemas.openxmlformats.org/officeDocument/2006/relationships/worksheet" Target="/xl/worksheets/sheet15.xml" Id="R215aa4d2227c45ed" /><Relationship Type="http://schemas.openxmlformats.org/officeDocument/2006/relationships/worksheet" Target="/xl/worksheets/sheet16.xml" Id="R8db62a837c2e4472" /><Relationship Type="http://schemas.openxmlformats.org/officeDocument/2006/relationships/worksheet" Target="/xl/worksheets/sheet17.xml" Id="Refdfe13ed8254676" /><Relationship Type="http://schemas.openxmlformats.org/officeDocument/2006/relationships/worksheet" Target="/xl/worksheets/sheet18.xml" Id="R8c99352cf11444b2" /><Relationship Type="http://schemas.openxmlformats.org/officeDocument/2006/relationships/worksheet" Target="/xl/worksheets/sheet19.xml" Id="R418c9d40004f4e6c" /><Relationship Type="http://schemas.openxmlformats.org/officeDocument/2006/relationships/worksheet" Target="/xl/worksheets/sheet20.xml" Id="Re113114b9f0242f9" /><Relationship Type="http://schemas.openxmlformats.org/officeDocument/2006/relationships/worksheet" Target="/xl/worksheets/sheet21.xml" Id="Rf4031ca1a3384205" /><Relationship Type="http://schemas.openxmlformats.org/officeDocument/2006/relationships/worksheet" Target="/xl/worksheets/sheet22.xml" Id="Rcaf8f80dff294ba1" /><Relationship Type="http://schemas.openxmlformats.org/officeDocument/2006/relationships/worksheet" Target="/xl/worksheets/sheet23.xml" Id="Rf1cf00b57c5c44ee" /><Relationship Type="http://schemas.openxmlformats.org/officeDocument/2006/relationships/worksheet" Target="/xl/worksheets/sheet24.xml" Id="Rda394a91e315467a" /><Relationship Type="http://schemas.openxmlformats.org/officeDocument/2006/relationships/worksheet" Target="/xl/worksheets/sheet25.xml" Id="Rf99966de6b684409" /><Relationship Type="http://schemas.openxmlformats.org/officeDocument/2006/relationships/worksheet" Target="/xl/worksheets/sheet26.xml" Id="R443612274ead4294" /><Relationship Type="http://schemas.openxmlformats.org/officeDocument/2006/relationships/worksheet" Target="/xl/worksheets/sheet27.xml" Id="R66f7c0b49cf14b9d" /><Relationship Type="http://schemas.openxmlformats.org/officeDocument/2006/relationships/worksheet" Target="/xl/worksheets/sheet28.xml" Id="R76648647765645be" /><Relationship Type="http://schemas.openxmlformats.org/officeDocument/2006/relationships/worksheet" Target="/xl/worksheets/sheet29.xml" Id="Rccb0529b9aaa4968" /><Relationship Type="http://schemas.openxmlformats.org/officeDocument/2006/relationships/worksheet" Target="/xl/worksheets/sheet30.xml" Id="R9eccd7cd760f4726" /><Relationship Type="http://schemas.openxmlformats.org/officeDocument/2006/relationships/worksheet" Target="/xl/worksheets/sheet31.xml" Id="R6f02e77987264b6d" /><Relationship Type="http://schemas.openxmlformats.org/officeDocument/2006/relationships/worksheet" Target="/xl/worksheets/sheet32.xml" Id="Ra9d160b7bf0540af" /><Relationship Type="http://schemas.openxmlformats.org/officeDocument/2006/relationships/worksheet" Target="/xl/worksheets/sheet33.xml" Id="Rd051ae8cf3b94b2b" /><Relationship Type="http://schemas.openxmlformats.org/officeDocument/2006/relationships/worksheet" Target="/xl/worksheets/sheet34.xml" Id="R3bfda47bca9f44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333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62" hidden="0" customWidth="1"/>
    <x:col min="3" max="3" width="32" hidden="0" customWidth="1"/>
    <x:col min="4" max="4" width="38" hidden="0" customWidth="1"/>
    <x:col min="5" max="5" width="25" hidden="0" customWidth="1"/>
    <x:col min="6" max="6" width="58" hidden="0" customWidth="1"/>
    <x:col min="7" max="7" width="50" hidden="0" customWidth="1"/>
    <x:col min="8" max="8" width="40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4" t="str">
        <x:v>Данные для 30 рисунков исследования</x:v>
      </x:c>
      <x:c r="B2" s="5"/>
      <x:c r="C2" s="5"/>
      <x:c r="D2" s="5"/>
      <x:c r="E2" s="5"/>
      <x:c r="F2" s="5"/>
      <x:c r="G2" s="5"/>
      <x:c r="H2" s="5"/>
    </x:row>
    <x:row r="3" ht="22" customHeight="1">
      <x:c r="A3" s="6" t="str">
        <x:v>22 рисунка основного текста и 8 приложений. Таблицы можно выделять по диапазонам из оглавления.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7" t="str"/>
      <x:c r="B4" s="2"/>
      <x:c r="C4" s="2"/>
      <x:c r="D4" s="2"/>
      <x:c r="E4" s="2"/>
      <x:c r="F4" s="2"/>
      <x:c r="G4" s="2"/>
      <x:c r="H4" s="2"/>
    </x:row>
    <x:row r="5" ht="26" customHeight="1">
      <x:c r="A5" s="8" t="str">
        <x:v>Диапазоны данных</x:v>
      </x:c>
      <x:c r="B5" s="2"/>
      <x:c r="C5" s="2"/>
      <x:c r="D5" s="2"/>
      <x:c r="E5" s="2"/>
      <x:c r="F5" s="2"/>
      <x:c r="G5" s="2"/>
      <x:c r="H5" s="2"/>
    </x:row>
    <x:row r="6" ht="40" customHeight="1">
      <x:c r="A6" s="13" t="str">
        <x:v>Рисунок</x:v>
      </x:c>
      <x:c r="B6" s="13" t="str">
        <x:v>Содержание</x:v>
      </x:c>
      <x:c r="C6" s="13" t="str">
        <x:v>Лист</x:v>
      </x:c>
      <x:c r="D6" s="13" t="str">
        <x:v>Панель / таблица</x:v>
      </x:c>
      <x:c r="E6" s="13" t="str">
        <x:v>Диапазон с заголовками</x:v>
      </x:c>
      <x:c r="F6" s="13" t="str">
        <x:v>Столбцы для графика</x:v>
      </x:c>
      <x:c r="G6" s="13" t="str">
        <x:v>Вид рисунка</x:v>
      </x:c>
      <x:c r="H6" s="13" t="str">
        <x:v>Характер данных</x:v>
      </x:c>
    </x:row>
    <x:row r="7" ht="22" customHeight="1">
      <x:c r="A7" s="15" t="str">
        <x:v>1.1</x:v>
      </x:c>
      <x:c r="B7" s="15" t="str">
        <x:v>1.1 Международная цепочка создания интегральных схем</x:v>
      </x:c>
      <x:c r="C7" s="15" t="str">
        <x:v>1_1_Цепочка</x:v>
      </x:c>
      <x:c r="D7" s="15" t="str">
        <x:v>Блоки</x:v>
      </x:c>
      <x:c r="E7" s="15" t="str">
        <x:v>A6:C13</x:v>
      </x:c>
      <x:c r="F7" s="15" t="str">
        <x:v>A:C — блоки и связи</x:v>
      </x:c>
      <x:c r="G7" s="15" t="str">
        <x:v>Схема стадий и обеспечивающих ресурсов</x:v>
      </x:c>
      <x:c r="H7" s="15" t="str">
        <x:v>Концептуальная схема</x:v>
      </x:c>
    </x:row>
    <x:row r="8" ht="22" customHeight="1">
      <x:c r="A8" s="15" t="str">
        <x:v>1.1</x:v>
      </x:c>
      <x:c r="B8" s="15" t="str">
        <x:v>1.1 Международная цепочка создания интегральных схем</x:v>
      </x:c>
      <x:c r="C8" s="15" t="str">
        <x:v>1_1_Цепочка</x:v>
      </x:c>
      <x:c r="D8" s="15" t="str">
        <x:v>Связи</x:v>
      </x:c>
      <x:c r="E8" s="15" t="str">
        <x:v>A17:C25</x:v>
      </x:c>
      <x:c r="F8" s="15" t="str">
        <x:v>A:C — блоки и связи</x:v>
      </x:c>
      <x:c r="G8" s="15" t="str">
        <x:v>Схема стадий и обеспечивающих ресурсов</x:v>
      </x:c>
      <x:c r="H8" s="15" t="str">
        <x:v>Концептуальная схема</x:v>
      </x:c>
    </x:row>
    <x:row r="9" ht="22" customHeight="1">
      <x:c r="A9" s="15" t="str">
        <x:v>1.2</x:v>
      </x:c>
      <x:c r="B9" s="15" t="str">
        <x:v>1.2 Структура экспорта и условная волатильность</x:v>
      </x:c>
      <x:c r="C9" s="15" t="str">
        <x:v>1_2_Механизм</x:v>
      </x:c>
      <x:c r="D9" s="15" t="str">
        <x:v>Блоки</x:v>
      </x:c>
      <x:c r="E9" s="15" t="str">
        <x:v>A6:C13</x:v>
      </x:c>
      <x:c r="F9" s="15" t="str">
        <x:v>A:C — блоки и связи</x:v>
      </x:c>
      <x:c r="G9" s="15" t="str">
        <x:v>Блок-схема весов и совместной динамики</x:v>
      </x:c>
      <x:c r="H9" s="15" t="str">
        <x:v>Концептуальная схема</x:v>
      </x:c>
    </x:row>
    <x:row r="10" ht="22" customHeight="1">
      <x:c r="A10" s="15" t="str">
        <x:v>1.2</x:v>
      </x:c>
      <x:c r="B10" s="15" t="str">
        <x:v>1.2 Структура экспорта и условная волатильность</x:v>
      </x:c>
      <x:c r="C10" s="15" t="str">
        <x:v>1_2_Механизм</x:v>
      </x:c>
      <x:c r="D10" s="15" t="str">
        <x:v>Связи</x:v>
      </x:c>
      <x:c r="E10" s="15" t="str">
        <x:v>A17:C23</x:v>
      </x:c>
      <x:c r="F10" s="15" t="str">
        <x:v>A:C — блоки и связи</x:v>
      </x:c>
      <x:c r="G10" s="15" t="str">
        <x:v>Блок-схема весов и совместной динамики</x:v>
      </x:c>
      <x:c r="H10" s="15" t="str">
        <x:v>Концептуальная схема</x:v>
      </x:c>
    </x:row>
    <x:row r="11" ht="22" customHeight="1">
      <x:c r="A11" s="15" t="str">
        <x:v>1.3</x:v>
      </x:c>
      <x:c r="B11" s="15" t="str">
        <x:v>1.3 Число рынков и корреляция: учебный пример</x:v>
      </x:c>
      <x:c r="C11" s="15" t="str">
        <x:v>1_3_Учебный_пример</x:v>
      </x:c>
      <x:c r="D11" s="15" t="str">
        <x:v>Редактируемые параметры</x:v>
      </x:c>
      <x:c r="E11" s="15" t="str">
        <x:v>A6:B10</x:v>
      </x:c>
      <x:c r="F11" s="15" t="str">
        <x:v>Кривые: A:D. Параметры: справочно</x:v>
      </x:c>
      <x:c r="G11" s="15" t="str">
        <x:v>Три линии волатильности по числу рынков</x:v>
      </x:c>
      <x:c r="H11" s="15" t="str">
        <x:v>Условный учебный пример</x:v>
      </x:c>
    </x:row>
    <x:row r="12" ht="22" customHeight="1">
      <x:c r="A12" s="15" t="str">
        <x:v>1.3</x:v>
      </x:c>
      <x:c r="B12" s="15" t="str">
        <x:v>1.3 Число рынков и корреляция: учебный пример</x:v>
      </x:c>
      <x:c r="C12" s="15" t="str">
        <x:v>1_3_Учебный_пример</x:v>
      </x:c>
      <x:c r="D12" s="15" t="str">
        <x:v>Данные кривых</x:v>
      </x:c>
      <x:c r="E12" s="15" t="str">
        <x:v>A14:D34</x:v>
      </x:c>
      <x:c r="F12" s="15" t="str">
        <x:v>Кривые: A:D. Параметры: справочно</x:v>
      </x:c>
      <x:c r="G12" s="15" t="str">
        <x:v>Три линии волатильности по числу рынков</x:v>
      </x:c>
      <x:c r="H12" s="15" t="str">
        <x:v>Условный учебный пример</x:v>
      </x:c>
    </x:row>
    <x:row r="13" ht="22" customHeight="1">
      <x:c r="A13" s="15" t="str">
        <x:v>2.1</x:v>
      </x:c>
      <x:c r="B13" s="15" t="str">
        <x:v>2.1 Экспорт и наблюдаемый месячный рост</x:v>
      </x:c>
      <x:c r="C13" s="15" t="str">
        <x:v>2_01_Экспорт</x:v>
      </x:c>
      <x:c r="D13" s="15" t="str">
        <x:v>Месячные ряды</x:v>
      </x:c>
      <x:c r="E13" s="15" t="str">
        <x:v>A6:E102</x:v>
      </x:c>
      <x:c r="F13" s="15" t="str">
        <x:v>Стоимость: A:C; рост: A,D:E с 2018 года</x:v>
      </x:c>
      <x:c r="G13" s="15" t="str">
        <x:v>Две панели: стоимость и симметричный рост</x:v>
      </x:c>
      <x:c r="H13" s="15" t="str">
        <x:v>Расчёт по наблюдениям</x:v>
      </x:c>
    </x:row>
    <x:row r="14" ht="22" customHeight="1">
      <x:c r="A14" s="15" t="str">
        <x:v>2.2</x:v>
      </x:c>
      <x:c r="B14" s="15" t="str">
        <x:v>2.2 Индексы экспорта четырёх товарных групп</x:v>
      </x:c>
      <x:c r="C14" s="15" t="str">
        <x:v>2_02_Товарные_индексы</x:v>
      </x:c>
      <x:c r="D14" s="15" t="str">
        <x:v>Япония</x:v>
      </x:c>
      <x:c r="E14" s="15" t="str">
        <x:v>A6:I14</x:v>
      </x:c>
      <x:c r="F14" s="15" t="str">
        <x:v>Год: A; индексы: F:I</x:v>
      </x:c>
      <x:c r="G14" s="15" t="str">
        <x:v>Четыре линии в каждой из двух панелей</x:v>
      </x:c>
      <x:c r="H14" s="15" t="str">
        <x:v>Расчёт по наблюдениям</x:v>
      </x:c>
    </x:row>
    <x:row r="15" ht="22" customHeight="1">
      <x:c r="A15" s="15" t="str">
        <x:v>2.2</x:v>
      </x:c>
      <x:c r="B15" s="15" t="str">
        <x:v>2.2 Индексы экспорта четырёх товарных групп</x:v>
      </x:c>
      <x:c r="C15" s="15" t="str">
        <x:v>2_02_Товарные_индексы</x:v>
      </x:c>
      <x:c r="D15" s="15" t="str">
        <x:v>Республика Корея</x:v>
      </x:c>
      <x:c r="E15" s="15" t="str">
        <x:v>A18:I26</x:v>
      </x:c>
      <x:c r="F15" s="15" t="str">
        <x:v>Год: A; индексы: F:I</x:v>
      </x:c>
      <x:c r="G15" s="15" t="str">
        <x:v>Четыре линии в каждой из двух панелей</x:v>
      </x:c>
      <x:c r="H15" s="15" t="str">
        <x:v>Расчёт по наблюдениям</x:v>
      </x:c>
    </x:row>
    <x:row r="16" ht="22" customHeight="1">
      <x:c r="A16" s="15" t="str">
        <x:v>2.3</x:v>
      </x:c>
      <x:c r="B16" s="15" t="str">
        <x:v>2.3 Товарная структура экспорта</x:v>
      </x:c>
      <x:c r="C16" s="15" t="str">
        <x:v>2_03_Товарные_доли</x:v>
      </x:c>
      <x:c r="D16" s="15" t="str">
        <x:v>Япония</x:v>
      </x:c>
      <x:c r="E16" s="15" t="str">
        <x:v>A6:E14</x:v>
      </x:c>
      <x:c r="F16" s="15" t="str">
        <x:v>Год: A; доли: B:E</x:v>
      </x:c>
      <x:c r="G16" s="15" t="str">
        <x:v>Столбцы с накоплением до 100%</x:v>
      </x:c>
      <x:c r="H16" s="15" t="str">
        <x:v>Расчёт по наблюдениям</x:v>
      </x:c>
    </x:row>
    <x:row r="17" ht="22" customHeight="1">
      <x:c r="A17" s="15" t="str">
        <x:v>2.3</x:v>
      </x:c>
      <x:c r="B17" s="15" t="str">
        <x:v>2.3 Товарная структура экспорта</x:v>
      </x:c>
      <x:c r="C17" s="15" t="str">
        <x:v>2_03_Товарные_доли</x:v>
      </x:c>
      <x:c r="D17" s="15" t="str">
        <x:v>Республика Корея</x:v>
      </x:c>
      <x:c r="E17" s="15" t="str">
        <x:v>A18:E26</x:v>
      </x:c>
      <x:c r="F17" s="15" t="str">
        <x:v>Год: A; доли: B:E</x:v>
      </x:c>
      <x:c r="G17" s="15" t="str">
        <x:v>Столбцы с накоплением до 100%</x:v>
      </x:c>
      <x:c r="H17" s="15" t="str">
        <x:v>Расчёт по наблюдениям</x:v>
      </x:c>
    </x:row>
    <x:row r="18" ht="22" customHeight="1">
      <x:c r="A18" s="15" t="str">
        <x:v>2.4</x:v>
      </x:c>
      <x:c r="B18" s="15" t="str">
        <x:v>2.4 Товарный вклад в прирост стоимости экспорта</x:v>
      </x:c>
      <x:c r="C18" s="15" t="str">
        <x:v>2_04_Прирост_экспорта</x:v>
      </x:c>
      <x:c r="D18" s="15" t="str">
        <x:v>Япония</x:v>
      </x:c>
      <x:c r="E18" s="15" t="str">
        <x:v>A6:F12</x:v>
      </x:c>
      <x:c r="F18" s="15" t="str">
        <x:v>Элементы: A; величины: C; роль итогов: B</x:v>
      </x:c>
      <x:c r="G18" s="15" t="str">
        <x:v>Водопад от стоимости 2017 к стоимости 2024</x:v>
      </x:c>
      <x:c r="H18" s="15" t="str">
        <x:v>Расчёт по наблюдениям</x:v>
      </x:c>
    </x:row>
    <x:row r="19" ht="22" customHeight="1">
      <x:c r="A19" s="15" t="str">
        <x:v>2.4</x:v>
      </x:c>
      <x:c r="B19" s="15" t="str">
        <x:v>2.4 Товарный вклад в прирост стоимости экспорта</x:v>
      </x:c>
      <x:c r="C19" s="15" t="str">
        <x:v>2_04_Прирост_экспорта</x:v>
      </x:c>
      <x:c r="D19" s="15" t="str">
        <x:v>Республика Корея</x:v>
      </x:c>
      <x:c r="E19" s="15" t="str">
        <x:v>A16:F22</x:v>
      </x:c>
      <x:c r="F19" s="15" t="str">
        <x:v>Элементы: A; величины: C; роль итогов: B</x:v>
      </x:c>
      <x:c r="G19" s="15" t="str">
        <x:v>Водопад от стоимости 2017 к стоимости 2024</x:v>
      </x:c>
      <x:c r="H19" s="15" t="str">
        <x:v>Расчёт по наблюдениям</x:v>
      </x:c>
    </x:row>
    <x:row r="20" ht="22" customHeight="1">
      <x:c r="A20" s="15" t="str">
        <x:v>2.5</x:v>
      </x:c>
      <x:c r="B20" s="15" t="str">
        <x:v>2.5 Товарная и географическая концентрация</x:v>
      </x:c>
      <x:c r="C20" s="15" t="str">
        <x:v>2_05_Концентрация</x:v>
      </x:c>
      <x:c r="D20" s="15" t="str">
        <x:v>Годовые показатели</x:v>
      </x:c>
      <x:c r="E20" s="15" t="str">
        <x:v>A6:D22</x:v>
      </x:c>
      <x:c r="F20" s="15" t="str">
        <x:v>Год: B; HHI: C:D; фильтр страны: A</x:v>
      </x:c>
      <x:c r="G20" s="15" t="str">
        <x:v>Две панели HHI по годам</x:v>
      </x:c>
      <x:c r="H20" s="15" t="str">
        <x:v>Расчёт по наблюдениям</x:v>
      </x:c>
    </x:row>
    <x:row r="21" ht="22" customHeight="1">
      <x:c r="A21" s="15" t="str">
        <x:v>2.6</x:v>
      </x:c>
      <x:c r="B21" s="15" t="str">
        <x:v>2.6 Изменение долей направлений экспорта</x:v>
      </x:c>
      <x:c r="C21" s="15" t="str">
        <x:v>2_06_Рынки_2017_2024</x:v>
      </x:c>
      <x:c r="D21" s="15" t="str">
        <x:v>Япония</x:v>
      </x:c>
      <x:c r="E21" s="15" t="str">
        <x:v>A6:G15</x:v>
      </x:c>
      <x:c r="F21" s="15" t="str">
        <x:v>Направления: A; доли: C:D</x:v>
      </x:c>
      <x:c r="G21" s="15" t="str">
        <x:v>Парные точки 2017 и 2024 по направлениям</x:v>
      </x:c>
      <x:c r="H21" s="15" t="str">
        <x:v>Расчёт по наблюдениям</x:v>
      </x:c>
    </x:row>
    <x:row r="22" ht="22" customHeight="1">
      <x:c r="A22" s="15" t="str">
        <x:v>2.6</x:v>
      </x:c>
      <x:c r="B22" s="15" t="str">
        <x:v>2.6 Изменение долей направлений экспорта</x:v>
      </x:c>
      <x:c r="C22" s="15" t="str">
        <x:v>2_06_Рынки_2017_2024</x:v>
      </x:c>
      <x:c r="D22" s="15" t="str">
        <x:v>Республика Корея</x:v>
      </x:c>
      <x:c r="E22" s="15" t="str">
        <x:v>A19:G28</x:v>
      </x:c>
      <x:c r="F22" s="15" t="str">
        <x:v>Направления: A; доли: C:D</x:v>
      </x:c>
      <x:c r="G22" s="15" t="str">
        <x:v>Парные точки 2017 и 2024 по направлениям</x:v>
      </x:c>
      <x:c r="H22" s="15" t="str">
        <x:v>Расчёт по наблюдениям</x:v>
      </x:c>
    </x:row>
    <x:row r="23" ht="22" customHeight="1">
      <x:c r="A23" s="15" t="str">
        <x:v>2.7</x:v>
      </x:c>
      <x:c r="B23" s="15" t="str">
        <x:v>2.7 География внутри товарных групп в 2024 году</x:v>
      </x:c>
      <x:c r="C23" s="15" t="str">
        <x:v>2_07_Товар_рынок</x:v>
      </x:c>
      <x:c r="D23" s="15" t="str">
        <x:v>Япония</x:v>
      </x:c>
      <x:c r="E23" s="15" t="str">
        <x:v>A6:J10</x:v>
      </x:c>
      <x:c r="F23" s="15" t="str">
        <x:v>Товары: A; матрица долей: B:J</x:v>
      </x:c>
      <x:c r="G23" s="15" t="str">
        <x:v>Две тепловые карты 4 × 9</x:v>
      </x:c>
      <x:c r="H23" s="15" t="str">
        <x:v>Расчёт по наблюдениям</x:v>
      </x:c>
    </x:row>
    <x:row r="24" ht="22" customHeight="1">
      <x:c r="A24" s="15" t="str">
        <x:v>2.7</x:v>
      </x:c>
      <x:c r="B24" s="15" t="str">
        <x:v>2.7 География внутри товарных групп в 2024 году</x:v>
      </x:c>
      <x:c r="C24" s="15" t="str">
        <x:v>2_07_Товар_рынок</x:v>
      </x:c>
      <x:c r="D24" s="15" t="str">
        <x:v>Республика Корея</x:v>
      </x:c>
      <x:c r="E24" s="15" t="str">
        <x:v>A14:J18</x:v>
      </x:c>
      <x:c r="F24" s="15" t="str">
        <x:v>Товары: A; матрица долей: B:J</x:v>
      </x:c>
      <x:c r="G24" s="15" t="str">
        <x:v>Две тепловые карты 4 × 9</x:v>
      </x:c>
      <x:c r="H24" s="15" t="str">
        <x:v>Расчёт по наблюдениям</x:v>
      </x:c>
    </x:row>
    <x:row r="25" ht="22" customHeight="1">
      <x:c r="A25" s="15" t="str">
        <x:v>2.8</x:v>
      </x:c>
      <x:c r="B25" s="15" t="str">
        <x:v>2.8 Экспорт в двух сопоставляемых эпизодах</x:v>
      </x:c>
      <x:c r="C25" s="15" t="str">
        <x:v>2_08_Эпизоды</x:v>
      </x:c>
      <x:c r="D25" s="15" t="str">
        <x:v>Япония, база 2018 Q4</x:v>
      </x:c>
      <x:c r="E25" s="15" t="str">
        <x:v>A6:D15</x:v>
      </x:c>
      <x:c r="F25" s="15" t="str">
        <x:v>Относительный квартал: A; индекс: D</x:v>
      </x:c>
      <x:c r="G25" s="15" t="str">
        <x:v>Четыре линии по относительному кварталу</x:v>
      </x:c>
      <x:c r="H25" s="15" t="str">
        <x:v>Расчёт по наблюдениям</x:v>
      </x:c>
    </x:row>
    <x:row r="26" ht="22" customHeight="1">
      <x:c r="A26" s="15" t="str">
        <x:v>2.8</x:v>
      </x:c>
      <x:c r="B26" s="15" t="str">
        <x:v>2.8 Экспорт в двух сопоставляемых эпизодах</x:v>
      </x:c>
      <x:c r="C26" s="15" t="str">
        <x:v>2_08_Эпизоды</x:v>
      </x:c>
      <x:c r="D26" s="15" t="str">
        <x:v>Япония, база 2022 Q4</x:v>
      </x:c>
      <x:c r="E26" s="15" t="str">
        <x:v>A19:D28</x:v>
      </x:c>
      <x:c r="F26" s="15" t="str">
        <x:v>Относительный квартал: A; индекс: D</x:v>
      </x:c>
      <x:c r="G26" s="15" t="str">
        <x:v>Четыре линии по относительному кварталу</x:v>
      </x:c>
      <x:c r="H26" s="15" t="str">
        <x:v>Расчёт по наблюдениям</x:v>
      </x:c>
    </x:row>
    <x:row r="27" ht="22" customHeight="1">
      <x:c r="A27" s="15" t="str">
        <x:v>2.8</x:v>
      </x:c>
      <x:c r="B27" s="15" t="str">
        <x:v>2.8 Экспорт в двух сопоставляемых эпизодах</x:v>
      </x:c>
      <x:c r="C27" s="15" t="str">
        <x:v>2_08_Эпизоды</x:v>
      </x:c>
      <x:c r="D27" s="15" t="str">
        <x:v>Республика Корея, база 2018 Q4</x:v>
      </x:c>
      <x:c r="E27" s="15" t="str">
        <x:v>A32:D41</x:v>
      </x:c>
      <x:c r="F27" s="15" t="str">
        <x:v>Относительный квартал: A; индекс: D</x:v>
      </x:c>
      <x:c r="G27" s="15" t="str">
        <x:v>Четыре линии по относительному кварталу</x:v>
      </x:c>
      <x:c r="H27" s="15" t="str">
        <x:v>Расчёт по наблюдениям</x:v>
      </x:c>
    </x:row>
    <x:row r="28" ht="22" customHeight="1">
      <x:c r="A28" s="15" t="str">
        <x:v>2.8</x:v>
      </x:c>
      <x:c r="B28" s="15" t="str">
        <x:v>2.8 Экспорт в двух сопоставляемых эпизодах</x:v>
      </x:c>
      <x:c r="C28" s="15" t="str">
        <x:v>2_08_Эпизоды</x:v>
      </x:c>
      <x:c r="D28" s="15" t="str">
        <x:v>Республика Корея, база 2022 Q4</x:v>
      </x:c>
      <x:c r="E28" s="15" t="str">
        <x:v>A45:D54</x:v>
      </x:c>
      <x:c r="F28" s="15" t="str">
        <x:v>Относительный квартал: A; индекс: D</x:v>
      </x:c>
      <x:c r="G28" s="15" t="str">
        <x:v>Четыре линии по относительному кварталу</x:v>
      </x:c>
      <x:c r="H28" s="15" t="str">
        <x:v>Расчёт по наблюдениям</x:v>
      </x:c>
    </x:row>
    <x:row r="29" ht="22" customHeight="1">
      <x:c r="A29" s="15" t="str">
        <x:v>2.9</x:v>
      </x:c>
      <x:c r="B29" s="15" t="str">
        <x:v>2.9 Волатильность четырёх условных структур</x:v>
      </x:c>
      <x:c r="C29" s="15" t="str">
        <x:v>2_09_Четыре_структуры</x:v>
      </x:c>
      <x:c r="D29" s="15" t="str">
        <x:v>Состояния</x:v>
      </x:c>
      <x:c r="E29" s="15" t="str">
        <x:v>A6:I14</x:v>
      </x:c>
      <x:c r="F29" s="15" t="str">
        <x:v>Структура: B; SD: C; ошибки вниз/вверх: F:G</x:v>
      </x:c>
      <x:c r="G29" s="15" t="str">
        <x:v>Точки и 95% интервалы</x:v>
      </x:c>
      <x:c r="H29" s="15" t="str">
        <x:v>Сохранённые оценки модели</x:v>
      </x:c>
    </x:row>
    <x:row r="30" ht="22" customHeight="1">
      <x:c r="A30" s="15" t="str">
        <x:v>2.10</x:v>
      </x:c>
      <x:c r="B30" s="15" t="str">
        <x:v>2.10 Разложение изменения дисперсии</x:v>
      </x:c>
      <x:c r="C30" s="15" t="str">
        <x:v>2_10_Шепли</x:v>
      </x:c>
      <x:c r="D30" s="15" t="str">
        <x:v>Япония</x:v>
      </x:c>
      <x:c r="E30" s="15" t="str">
        <x:v>A6:E11</x:v>
      </x:c>
      <x:c r="F30" s="15" t="str">
        <x:v>Компоненты: A; величины: C; роль: B</x:v>
      </x:c>
      <x:c r="G30" s="15" t="str">
        <x:v>Водопад дисперсии по двум странам</x:v>
      </x:c>
      <x:c r="H30" s="15" t="str">
        <x:v>Сохранённые оценки модели</x:v>
      </x:c>
    </x:row>
    <x:row r="31" ht="22" customHeight="1">
      <x:c r="A31" s="15" t="str">
        <x:v>2.10</x:v>
      </x:c>
      <x:c r="B31" s="15" t="str">
        <x:v>2.10 Разложение изменения дисперсии</x:v>
      </x:c>
      <x:c r="C31" s="15" t="str">
        <x:v>2_10_Шепли</x:v>
      </x:c>
      <x:c r="D31" s="15" t="str">
        <x:v>Республика Корея</x:v>
      </x:c>
      <x:c r="E31" s="15" t="str">
        <x:v>A15:E20</x:v>
      </x:c>
      <x:c r="F31" s="15" t="str">
        <x:v>Компоненты: A; величины: C; роль: B</x:v>
      </x:c>
      <x:c r="G31" s="15" t="str">
        <x:v>Водопад дисперсии по двум странам</x:v>
      </x:c>
      <x:c r="H31" s="15" t="str">
        <x:v>Сохранённые оценки модели</x:v>
      </x:c>
    </x:row>
    <x:row r="32" ht="22" customHeight="1">
      <x:c r="A32" s="15" t="str">
        <x:v>2.11</x:v>
      </x:c>
      <x:c r="B32" s="15" t="str">
        <x:v>2.11 Доля памяти и состав продукции вне памяти</x:v>
      </x:c>
      <x:c r="C32" s="15" t="str">
        <x:v>2_11_Память_и_состав</x:v>
      </x:c>
      <x:c r="D32" s="15" t="str">
        <x:v>Компоненты</x:v>
      </x:c>
      <x:c r="E32" s="15" t="str">
        <x:v>A6:E10</x:v>
      </x:c>
      <x:c r="F32" s="15" t="str">
        <x:v>Компоненты: B; оценка: C; границы: D:E</x:v>
      </x:c>
      <x:c r="G32" s="15" t="str">
        <x:v>Два вклада и их интервалы по каждой стране</x:v>
      </x:c>
      <x:c r="H32" s="15" t="str">
        <x:v>Сохранённые оценки модели</x:v>
      </x:c>
    </x:row>
    <x:row r="33" ht="22" customHeight="1">
      <x:c r="A33" s="15" t="str">
        <x:v>2.12</x:v>
      </x:c>
      <x:c r="B33" s="15" t="str">
        <x:v>2.12 Источники географического вклада</x:v>
      </x:c>
      <x:c r="C33" s="15" t="str">
        <x:v>2_12_Ковариации</x:v>
      </x:c>
      <x:c r="D33" s="15" t="str">
        <x:v>Компоненты</x:v>
      </x:c>
      <x:c r="E33" s="15" t="str">
        <x:v>A6:E12</x:v>
      </x:c>
      <x:c r="F33" s="15" t="str">
        <x:v>Компоненты: B; оценка: C; границы: D:E</x:v>
      </x:c>
      <x:c r="G33" s="15" t="str">
        <x:v>Разнонаправленные столбцы и итог</x:v>
      </x:c>
      <x:c r="H33" s="15" t="str">
        <x:v>Сохранённые оценки модели</x:v>
      </x:c>
    </x:row>
    <x:row r="34" ht="22" customHeight="1">
      <x:c r="A34" s="15" t="str">
        <x:v>2.13</x:v>
      </x:c>
      <x:c r="B34" s="15" t="str">
        <x:v>2.13 Географический вклад по направлениям</x:v>
      </x:c>
      <x:c r="C34" s="15" t="str">
        <x:v>2_13_Вклады_направлений</x:v>
      </x:c>
      <x:c r="D34" s="15" t="str">
        <x:v>Вклады</x:v>
      </x:c>
      <x:c r="E34" s="15" t="str">
        <x:v>A6:F24</x:v>
      </x:c>
      <x:c r="F34" s="15" t="str">
        <x:v>Направления: B; оценка: D; границы: E:F</x:v>
      </x:c>
      <x:c r="G34" s="15" t="str">
        <x:v>Горизонтальные точки с интервалами</x:v>
      </x:c>
      <x:c r="H34" s="15" t="str">
        <x:v>Сохранённые оценки модели</x:v>
      </x:c>
    </x:row>
    <x:row r="35" ht="35" customHeight="1">
      <x:c r="A35" s="15" t="str">
        <x:v>2.14</x:v>
      </x:c>
      <x:c r="B35" s="15" t="str">
        <x:v>2.14 Чувствительность к исключению одного года</x:v>
      </x:c>
      <x:c r="C35" s="15" t="str">
        <x:v>2_14_Исключение_года</x:v>
      </x:c>
      <x:c r="D35" s="15" t="str">
        <x:v>Оценки при исключении года</x:v>
      </x:c>
      <x:c r="E35" s="15" t="str">
        <x:v>A6:G20</x:v>
      </x:c>
      <x:c r="F35" s="15" t="str">
        <x:v>Год: B; ΔSD и база: D:E; фильтр страны: A</x:v>
      </x:c>
      <x:c r="G35" s="15" t="str">
        <x:v>Линии оценок по исключённому году</x:v>
      </x:c>
      <x:c r="H35" s="15" t="str">
        <x:v>Сохранённая проверка чувствительности</x:v>
      </x:c>
    </x:row>
    <x:row r="36" ht="22" customHeight="1">
      <x:c r="A36" s="15" t="str">
        <x:v>3.1</x:v>
      </x:c>
      <x:c r="B36" s="15" t="str">
        <x:v>3.1 Изменение доли памяти и условная волатильность</x:v>
      </x:c>
      <x:c r="C36" s="15" t="str">
        <x:v>3_1_Сценарии_памяти</x:v>
      </x:c>
      <x:c r="D36" s="15" t="str">
        <x:v>Сценарные оценки</x:v>
      </x:c>
      <x:c r="E36" s="15" t="str">
        <x:v>A6:G16</x:v>
      </x:c>
      <x:c r="F36" s="15" t="str">
        <x:v>Сдвиг: B; ΔSD: E; границы: F:G</x:v>
      </x:c>
      <x:c r="G36" s="15" t="str">
        <x:v>Сценарные кривые и полосы интервалов</x:v>
      </x:c>
      <x:c r="H36" s="15" t="str">
        <x:v>Условный исторический сценарий</x:v>
      </x:c>
    </x:row>
    <x:row r="37" ht="35" customHeight="1">
      <x:c r="A37" s="15" t="str">
        <x:v>3.2</x:v>
      </x:c>
      <x:c r="B37" s="15" t="str">
        <x:v>3.2 Рост продукции вне памяти при неизменном экспорте памяти</x:v>
      </x:c>
      <x:c r="C37" s="15" t="str">
        <x:v>3_2_Масштаб_расширения</x:v>
      </x:c>
      <x:c r="D37" s="15" t="str">
        <x:v>Условия и результат</x:v>
      </x:c>
      <x:c r="E37" s="15" t="str">
        <x:v>A6:I10</x:v>
      </x:c>
      <x:c r="F37" s="15" t="str">
        <x:v>Снижение доли: B; млрд долл.: H; рост: I</x:v>
      </x:c>
      <x:c r="G37" s="15" t="str">
        <x:v>Требуемый прирост в млрд долл. и процентах</x:v>
      </x:c>
      <x:c r="H37" s="15" t="str">
        <x:v>Условный расчёт масштаба</x:v>
      </x:c>
    </x:row>
    <x:row r="38" ht="22" customHeight="1">
      <x:c r="A38" s="15" t="str">
        <x:v>3.3</x:v>
      </x:c>
      <x:c r="B38" s="15" t="str">
        <x:v>3.3 Сравнение географических сценариев</x:v>
      </x:c>
      <x:c r="C38" s="15" t="str">
        <x:v>3_3_Выбор_рынка</x:v>
      </x:c>
      <x:c r="D38" s="15" t="str">
        <x:v>Сравнение восьми направлений</x:v>
      </x:c>
      <x:c r="E38" s="15" t="str">
        <x:v>A6:J22</x:v>
      </x:c>
      <x:c r="F38" s="15" t="str">
        <x:v>Рынки: B; ΔSD: C; совместные границы: D:E</x:v>
      </x:c>
      <x:c r="G38" s="15" t="str">
        <x:v>Точки и одновременные 95% интервалы</x:v>
      </x:c>
      <x:c r="H38" s="15" t="str">
        <x:v>Условный исторический сценарий</x:v>
      </x:c>
    </x:row>
    <x:row r="39" ht="22" customHeight="1">
      <x:c r="A39" s="15" t="str">
        <x:v>3.4</x:v>
      </x:c>
      <x:c r="B39" s="15" t="str">
        <x:v>3.4 Требуемое расширение ячеек «товар — рынок»</x:v>
      </x:c>
      <x:c r="C39" s="15" t="str">
        <x:v>3_4_Рост_по_ячейкам</x:v>
      </x:c>
      <x:c r="D39" s="15" t="str">
        <x:v>Япония</x:v>
      </x:c>
      <x:c r="E39" s="15" t="str">
        <x:v>A6:D14</x:v>
      </x:c>
      <x:c r="F39" s="15" t="str">
        <x:v>Матрицы: A:D; исходные суммы: справочно</x:v>
      </x:c>
      <x:c r="G39" s="15" t="str">
        <x:v>Тепловые карты 8 × 3</x:v>
      </x:c>
      <x:c r="H39" s="15" t="str">
        <x:v>Условный расчёт масштаба</x:v>
      </x:c>
    </x:row>
    <x:row r="40" ht="22" customHeight="1">
      <x:c r="A40" s="15" t="str">
        <x:v>3.4</x:v>
      </x:c>
      <x:c r="B40" s="15" t="str">
        <x:v>3.4 Требуемое расширение ячеек «товар — рынок»</x:v>
      </x:c>
      <x:c r="C40" s="15" t="str">
        <x:v>3_4_Рост_по_ячейкам</x:v>
      </x:c>
      <x:c r="D40" s="15" t="str">
        <x:v>Республика Корея</x:v>
      </x:c>
      <x:c r="E40" s="15" t="str">
        <x:v>A18:D26</x:v>
      </x:c>
      <x:c r="F40" s="15" t="str">
        <x:v>Матрицы: A:D; исходные суммы: справочно</x:v>
      </x:c>
      <x:c r="G40" s="15" t="str">
        <x:v>Тепловые карты 8 × 3</x:v>
      </x:c>
      <x:c r="H40" s="15" t="str">
        <x:v>Условный расчёт масштаба</x:v>
      </x:c>
    </x:row>
    <x:row r="41" ht="22" customHeight="1">
      <x:c r="A41" s="15" t="str">
        <x:v>3.4</x:v>
      </x:c>
      <x:c r="B41" s="15" t="str">
        <x:v>3.4 Требуемое расширение ячеек «товар — рынок»</x:v>
      </x:c>
      <x:c r="C41" s="15" t="str">
        <x:v>3_4_Рост_по_ячейкам</x:v>
      </x:c>
      <x:c r="D41" s="15" t="str">
        <x:v>Исходные суммы сценария</x:v>
      </x:c>
      <x:c r="E41" s="15" t="str">
        <x:v>A30:F78</x:v>
      </x:c>
      <x:c r="F41" s="15" t="str">
        <x:v>Матрицы: A:D; исходные суммы: справочно</x:v>
      </x:c>
      <x:c r="G41" s="15" t="str">
        <x:v>Тепловые карты 8 × 3</x:v>
      </x:c>
      <x:c r="H41" s="15" t="str">
        <x:v>Условный расчёт масштаба</x:v>
      </x:c>
    </x:row>
    <x:row r="42" ht="22" customHeight="1">
      <x:c r="A42" s="15" t="str">
        <x:v>3.5</x:v>
      </x:c>
      <x:c r="B42" s="15" t="str">
        <x:v>3.5 Этапы отбора и реализации проекта</x:v>
      </x:c>
      <x:c r="C42" s="15" t="str">
        <x:v>3_5_Этапы_проекта</x:v>
      </x:c>
      <x:c r="D42" s="15" t="str">
        <x:v>Этапы и условия</x:v>
      </x:c>
      <x:c r="E42" s="15" t="str">
        <x:v>A6:F10</x:v>
      </x:c>
      <x:c r="F42" s="15" t="str">
        <x:v>Все столбцы: этапы, критерии и связи</x:v>
      </x:c>
      <x:c r="G42" s="15" t="str">
        <x:v>Схема этапов и развилок решения</x:v>
      </x:c>
      <x:c r="H42" s="15" t="str">
        <x:v>Рекомендательная схема</x:v>
      </x:c>
    </x:row>
    <x:row r="43" ht="22" customHeight="1">
      <x:c r="A43" s="15" t="str">
        <x:v>3.5</x:v>
      </x:c>
      <x:c r="B43" s="15" t="str">
        <x:v>3.5 Этапы отбора и реализации проекта</x:v>
      </x:c>
      <x:c r="C43" s="15" t="str">
        <x:v>3_5_Этапы_проекта</x:v>
      </x:c>
      <x:c r="D43" s="15" t="str">
        <x:v>Связи</x:v>
      </x:c>
      <x:c r="E43" s="15" t="str">
        <x:v>A14:C19</x:v>
      </x:c>
      <x:c r="F43" s="15" t="str">
        <x:v>Все столбцы: этапы, критерии и связи</x:v>
      </x:c>
      <x:c r="G43" s="15" t="str">
        <x:v>Схема этапов и развилок решения</x:v>
      </x:c>
      <x:c r="H43" s="15" t="str">
        <x:v>Рекомендательная схема</x:v>
      </x:c>
    </x:row>
    <x:row r="44" ht="35" customHeight="1">
      <x:c r="A44" s="15" t="str">
        <x:v>ПА</x:v>
      </x:c>
      <x:c r="B44" s="15" t="str">
        <x:v>Месячный рост по товарам</x:v>
      </x:c>
      <x:c r="C44" s="15" t="str">
        <x:v>ПА_Рост_товаров</x:v>
      </x:c>
      <x:c r="D44" s="15" t="str">
        <x:v>Япония</x:v>
      </x:c>
      <x:c r="E44" s="15" t="str">
        <x:v>A6:E90</x:v>
      </x:c>
      <x:c r="F44" s="15" t="str">
        <x:v>Месяцы: A; рост: B:E; при необходимости транспонировать</x:v>
      </x:c>
      <x:c r="G44" s="15" t="str">
        <x:v>Две тепловые карты 4 × 84</x:v>
      </x:c>
      <x:c r="H44" s="15" t="str">
        <x:v>Расчёт по наблюдениям</x:v>
      </x:c>
    </x:row>
    <x:row r="45" ht="35" customHeight="1">
      <x:c r="A45" s="15" t="str">
        <x:v>ПА</x:v>
      </x:c>
      <x:c r="B45" s="15" t="str">
        <x:v>Месячный рост по товарам</x:v>
      </x:c>
      <x:c r="C45" s="15" t="str">
        <x:v>ПА_Рост_товаров</x:v>
      </x:c>
      <x:c r="D45" s="15" t="str">
        <x:v>Республика Корея</x:v>
      </x:c>
      <x:c r="E45" s="15" t="str">
        <x:v>A94:E178</x:v>
      </x:c>
      <x:c r="F45" s="15" t="str">
        <x:v>Месяцы: A; рост: B:E; при необходимости транспонировать</x:v>
      </x:c>
      <x:c r="G45" s="15" t="str">
        <x:v>Две тепловые карты 4 × 84</x:v>
      </x:c>
      <x:c r="H45" s="15" t="str">
        <x:v>Расчёт по наблюдениям</x:v>
      </x:c>
    </x:row>
    <x:row r="46" ht="22" customHeight="1">
      <x:c r="A46" s="15" t="str">
        <x:v>ПБ</x:v>
      </x:c>
      <x:c r="B46" s="15" t="str">
        <x:v>Корреляции роста направлений</x:v>
      </x:c>
      <x:c r="C46" s="15" t="str">
        <x:v>ПБ_Корреляции</x:v>
      </x:c>
      <x:c r="D46" s="15" t="str">
        <x:v>Япония</x:v>
      </x:c>
      <x:c r="E46" s="15" t="str">
        <x:v>A6:J15</x:v>
      </x:c>
      <x:c r="F46" s="15" t="str">
        <x:v>Матрицы: A:J; нижние таблицы — исходный рост</x:v>
      </x:c>
      <x:c r="G46" s="15" t="str">
        <x:v>Две корреляционные матрицы 9 × 9</x:v>
      </x:c>
      <x:c r="H46" s="15" t="str">
        <x:v>Расчёт по наблюдениям</x:v>
      </x:c>
    </x:row>
    <x:row r="47" ht="22" customHeight="1">
      <x:c r="A47" s="15" t="str">
        <x:v>ПБ</x:v>
      </x:c>
      <x:c r="B47" s="15" t="str">
        <x:v>Корреляции роста направлений</x:v>
      </x:c>
      <x:c r="C47" s="15" t="str">
        <x:v>ПБ_Корреляции</x:v>
      </x:c>
      <x:c r="D47" s="15" t="str">
        <x:v>Республика Корея</x:v>
      </x:c>
      <x:c r="E47" s="15" t="str">
        <x:v>A19:J28</x:v>
      </x:c>
      <x:c r="F47" s="15" t="str">
        <x:v>Матрицы: A:J; нижние таблицы — исходный рост</x:v>
      </x:c>
      <x:c r="G47" s="15" t="str">
        <x:v>Две корреляционные матрицы 9 × 9</x:v>
      </x:c>
      <x:c r="H47" s="15" t="str">
        <x:v>Расчёт по наблюдениям</x:v>
      </x:c>
    </x:row>
    <x:row r="48" ht="22" customHeight="1">
      <x:c r="A48" s="15" t="str">
        <x:v>ПБ</x:v>
      </x:c>
      <x:c r="B48" s="15" t="str">
        <x:v>Корреляции роста направлений</x:v>
      </x:c>
      <x:c r="C48" s="15" t="str">
        <x:v>ПБ_Корреляции</x:v>
      </x:c>
      <x:c r="D48" s="15" t="str">
        <x:v>Япония: рост направлений, п.п.</x:v>
      </x:c>
      <x:c r="E48" s="15" t="str">
        <x:v>A33:J117</x:v>
      </x:c>
      <x:c r="F48" s="15" t="str">
        <x:v>Матрицы: A:J; нижние таблицы — исходный рост</x:v>
      </x:c>
      <x:c r="G48" s="15" t="str">
        <x:v>Две корреляционные матрицы 9 × 9</x:v>
      </x:c>
      <x:c r="H48" s="15" t="str">
        <x:v>Расчёт по наблюдениям</x:v>
      </x:c>
    </x:row>
    <x:row r="49" ht="35" customHeight="1">
      <x:c r="A49" s="15" t="str">
        <x:v>ПБ</x:v>
      </x:c>
      <x:c r="B49" s="15" t="str">
        <x:v>Корреляции роста направлений</x:v>
      </x:c>
      <x:c r="C49" s="15" t="str">
        <x:v>ПБ_Корреляции</x:v>
      </x:c>
      <x:c r="D49" s="15" t="str">
        <x:v>Республика Корея: рост направлений, п.п.</x:v>
      </x:c>
      <x:c r="E49" s="15" t="str">
        <x:v>A121:J205</x:v>
      </x:c>
      <x:c r="F49" s="15" t="str">
        <x:v>Матрицы: A:J; нижние таблицы — исходный рост</x:v>
      </x:c>
      <x:c r="G49" s="15" t="str">
        <x:v>Две корреляционные матрицы 9 × 9</x:v>
      </x:c>
      <x:c r="H49" s="15" t="str">
        <x:v>Расчёт по наблюдениям</x:v>
      </x:c>
    </x:row>
    <x:row r="50" ht="22" customHeight="1">
      <x:c r="A50" s="15" t="str">
        <x:v>ПВ</x:v>
      </x:c>
      <x:c r="B50" s="15" t="str">
        <x:v>Временные ряды условных индексов</x:v>
      </x:c>
      <x:c r="C50" s="15" t="str">
        <x:v>ПВ_Условные_индексы</x:v>
      </x:c>
      <x:c r="D50" s="15" t="str">
        <x:v>Условные ряды</x:v>
      </x:c>
      <x:c r="E50" s="15" t="str">
        <x:v>A6:F174</x:v>
      </x:c>
      <x:c r="F50" s="15" t="str">
        <x:v>Месяц: B; исходный и конечный: C,F; страна: A</x:v>
      </x:c>
      <x:c r="G50" s="15" t="str">
        <x:v>Парные линии исходной и конечной структуры</x:v>
      </x:c>
      <x:c r="H50" s="15" t="str">
        <x:v>Сохранённые ряды модели</x:v>
      </x:c>
    </x:row>
    <x:row r="51" ht="22" customHeight="1">
      <x:c r="A51" s="15" t="str">
        <x:v>ПГ</x:v>
      </x:c>
      <x:c r="B51" s="15" t="str">
        <x:v>Потоки от товаров к направлениям</x:v>
      </x:c>
      <x:c r="C51" s="15" t="str">
        <x:v>ПГ_Потоки_2024</x:v>
      </x:c>
      <x:c r="D51" s="15" t="str">
        <x:v>Связи с весами</x:v>
      </x:c>
      <x:c r="E51" s="15" t="str">
        <x:v>A6:G78</x:v>
      </x:c>
      <x:c r="F51" s="15" t="str">
        <x:v>Узлы: B,D; подписи: C,E; вес связи: F или G</x:v>
      </x:c>
      <x:c r="G51" s="15" t="str">
        <x:v>Диаграмма потоков (Санкей) по каждой стране</x:v>
      </x:c>
      <x:c r="H51" s="15" t="str">
        <x:v>Расчёт по наблюдениям</x:v>
      </x:c>
    </x:row>
    <x:row r="52" ht="35" customHeight="1">
      <x:c r="A52" s="15" t="str">
        <x:v>ПД</x:v>
      </x:c>
      <x:c r="B52" s="15" t="str">
        <x:v>Интервалы при блоках 6 и 12 месяцев</x:v>
      </x:c>
      <x:c r="C52" s="15" t="str">
        <x:v>ПД_Блоки_бутстрэпа</x:v>
      </x:c>
      <x:c r="D52" s="15" t="str">
        <x:v>Интервалы</x:v>
      </x:c>
      <x:c r="E52" s="15" t="str">
        <x:v>A6:H22</x:v>
      </x:c>
      <x:c r="F52" s="15" t="str">
        <x:v>Оценка: E; границы: F:G; блок: D; единица: C</x:v>
      </x:c>
      <x:c r="G52" s="15" t="str">
        <x:v>Парные интервалы для двух длин блока</x:v>
      </x:c>
      <x:c r="H52" s="15" t="str">
        <x:v>Сохранённая проверка чувствительности</x:v>
      </x:c>
    </x:row>
    <x:row r="53" ht="35" customHeight="1">
      <x:c r="A53" s="15" t="str">
        <x:v>ПЕ</x:v>
      </x:c>
      <x:c r="B53" s="15" t="str">
        <x:v>Результаты на двух окнах ковариации</x:v>
      </x:c>
      <x:c r="C53" s="15" t="str">
        <x:v>ПЕ_Окна_ковариации</x:v>
      </x:c>
      <x:c r="D53" s="15" t="str">
        <x:v>Результаты</x:v>
      </x:c>
      <x:c r="E53" s="15" t="str">
        <x:v>A6:G10</x:v>
      </x:c>
      <x:c r="F53" s="15" t="str">
        <x:v>Окно: B; SD: D; дисперсия/вклады: E:G, отдельно</x:v>
      </x:c>
      <x:c r="G53" s="15" t="str">
        <x:v>Сопоставление вкладов по двум окнам</x:v>
      </x:c>
      <x:c r="H53" s="15" t="str">
        <x:v>Сохранённая проверка чувствительности</x:v>
      </x:c>
    </x:row>
    <x:row r="54" ht="35" customHeight="1">
      <x:c r="A54" s="15" t="str">
        <x:v>ПЖ</x:v>
      </x:c>
      <x:c r="B54" s="15" t="str">
        <x:v>Сценарии памяти на двух окнах</x:v>
      </x:c>
      <x:c r="C54" s="15" t="str">
        <x:v>ПЖ_Память_по_окнам</x:v>
      </x:c>
      <x:c r="D54" s="15" t="str">
        <x:v>Сценарные оценки</x:v>
      </x:c>
      <x:c r="E54" s="15" t="str">
        <x:v>A6:F26</x:v>
      </x:c>
      <x:c r="F54" s="15" t="str">
        <x:v>Сдвиг: D; ΔSD: F; группы: A:B</x:v>
      </x:c>
      <x:c r="G54" s="15" t="str">
        <x:v>Сценарные кривые по окнам 2018–2020 и 2021–2024</x:v>
      </x:c>
      <x:c r="H54" s="15" t="str">
        <x:v>Сохранённая проверка чувствительности</x:v>
      </x:c>
    </x:row>
    <x:row r="55" ht="35" customHeight="1">
      <x:c r="A55" s="15" t="str">
        <x:v>ПЗ</x:v>
      </x:c>
      <x:c r="B55" s="15" t="str">
        <x:v>Сверка месячных и годовых данных</x:v>
      </x:c>
      <x:c r="C55" s="15" t="str">
        <x:v>ПЗ_Сверка_годовых</x:v>
      </x:c>
      <x:c r="D55" s="15" t="str">
        <x:v>Сопоставимые наблюдения</x:v>
      </x:c>
      <x:c r="E55" s="15" t="str">
        <x:v>A6:K102</x:v>
      </x:c>
      <x:c r="F55" s="15" t="str">
        <x:v>Рассеяние: I:J; отклонения: K; фильтры: A:F</x:v>
      </x:c>
      <x:c r="G55" s="15" t="str">
        <x:v>Диаграмма рассеяния и относительные расхождения</x:v>
      </x:c>
      <x:c r="H55" s="15" t="str">
        <x:v>Расчёт по наблюдениям</x:v>
      </x:c>
    </x:row>
    <x:row r="56" ht="22" customHeight="1">
      <x:c r="A56" s="2"/>
      <x:c r="B56" s="2"/>
      <x:c r="C56" s="2"/>
      <x:c r="D56" s="2"/>
      <x:c r="E56" s="2"/>
      <x:c r="F56" s="2"/>
      <x:c r="G56" s="2"/>
      <x:c r="H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</x:row>
    <x:row r="58" ht="26" customHeight="1">
      <x:c r="A58" s="8" t="str">
        <x:v>Как пользоваться</x:v>
      </x:c>
      <x:c r="B58" s="2"/>
      <x:c r="C58" s="2"/>
      <x:c r="D58" s="2"/>
      <x:c r="E58" s="2"/>
      <x:c r="F58" s="2"/>
      <x:c r="G58" s="2"/>
      <x:c r="H58" s="2"/>
    </x:row>
    <x:row r="59" ht="36" customHeight="1">
      <x:c r="A59" s="13" t="str">
        <x:v>Действие</x:v>
      </x:c>
      <x:c r="B59" s="13" t="str">
        <x:v>Пояснение</x:v>
      </x:c>
      <x:c r="C59" s="2"/>
      <x:c r="D59" s="2"/>
      <x:c r="E59" s="2"/>
      <x:c r="F59" s="2"/>
      <x:c r="G59" s="2"/>
      <x:c r="H59" s="2"/>
    </x:row>
    <x:row r="60" ht="35" customHeight="1">
      <x:c r="A60" s="15" t="str">
        <x:v>Найти рисунок</x:v>
      </x:c>
      <x:c r="B60" s="15" t="str">
        <x:v>Выберите номер и соответствующий лист. У каждого блока указан диапазон вместе с заголовками.</x:v>
      </x:c>
      <x:c r="C60" s="2"/>
      <x:c r="D60" s="2"/>
      <x:c r="E60" s="2"/>
      <x:c r="F60" s="2"/>
      <x:c r="G60" s="2"/>
      <x:c r="H60" s="2"/>
    </x:row>
    <x:row r="61" ht="35" customHeight="1">
      <x:c r="A61" s="15" t="str">
        <x:v>Выбрать значения</x:v>
      </x:c>
      <x:c r="B61" s="15" t="str">
        <x:v>В столбцах подписаны единицы. Страна и период служат фильтрами; подписи берутся из заголовков.</x:v>
      </x:c>
      <x:c r="C61" s="2"/>
      <x:c r="D61" s="2"/>
      <x:c r="E61" s="2"/>
      <x:c r="F61" s="2"/>
      <x:c r="G61" s="2"/>
      <x:c r="H61" s="2"/>
    </x:row>
    <x:row r="62" ht="35" customHeight="1">
      <x:c r="A62" s="15" t="str">
        <x:v>Интервалы</x:v>
      </x:c>
      <x:c r="B62" s="15" t="str">
        <x:v>Нижняя и верхняя границы — координаты интервала. Для полос погрешностей нужны расстояния от оценки.</x:v>
      </x:c>
      <x:c r="C62" s="2"/>
      <x:c r="D62" s="2"/>
      <x:c r="E62" s="2"/>
      <x:c r="F62" s="2"/>
      <x:c r="G62" s="2"/>
      <x:c r="H62" s="2"/>
    </x:row>
    <x:row r="63" ht="35" customHeight="1">
      <x:c r="A63" s="15" t="str">
        <x:v>Отрицательный вклад</x:v>
      </x:c>
      <x:c r="B63" s="15" t="str">
        <x:v>Сохраняйте знак. Не превращайте отрицательные вклады в положительные доли круговой диаграммы.</x:v>
      </x:c>
      <x:c r="C63" s="2"/>
      <x:c r="D63" s="2"/>
      <x:c r="E63" s="2"/>
      <x:c r="F63" s="2"/>
      <x:c r="G63" s="2"/>
      <x:c r="H63" s="2"/>
    </x:row>
    <x:row r="64" ht="35" customHeight="1">
      <x:c r="A64" s="15" t="str">
        <x:v>Формулы</x:v>
      </x:c>
      <x:c r="B64" s="15" t="str">
        <x:v>Ячейки с формулами пересчитывают простые показатели. Расчёты модели сохранены как числовые оценки.</x:v>
      </x:c>
      <x:c r="C64" s="2"/>
      <x:c r="D64" s="2"/>
      <x:c r="E64" s="2"/>
      <x:c r="F64" s="2"/>
      <x:c r="G64" s="2"/>
      <x:c r="H64" s="2"/>
    </x:row>
    <x:row r="65" ht="35" customHeight="1">
      <x:c r="A65" s="15" t="str">
        <x:v>Схемы</x:v>
      </x:c>
      <x:c r="B65" s="15" t="str">
        <x:v>Для 1.1, 1.2 и 3.5 приведены блоки и связи. Числовые значения для них не выдуманы.</x:v>
      </x:c>
      <x:c r="C65" s="2"/>
      <x:c r="D65" s="2"/>
      <x:c r="E65" s="2"/>
      <x:c r="F65" s="2"/>
      <x:c r="G65" s="2"/>
      <x:c r="H6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0" hidden="0" customWidth="1"/>
    <x:col min="3" max="3" width="55" hidden="0" customWidth="1"/>
  </x:cols>
  <x:sheetData>
    <x:row r="1" ht="8" customHeight="1">
      <x:c r="A1" s="2"/>
      <x:c r="B1" s="2"/>
      <x:c r="C1" s="2"/>
    </x:row>
    <x:row r="2" ht="29" customHeight="1">
      <x:c r="A2" s="4" t="str">
        <x:v>1.1 Международная цепочка создания интегральных схем</x:v>
      </x:c>
      <x:c r="B2" s="5"/>
      <x:c r="C2" s="5"/>
    </x:row>
    <x:row r="3" ht="22" customHeight="1">
      <x:c r="A3" s="6" t="str">
        <x:v>Таблицы блоков и связей для схемы. Количественных долей производства здесь нет.</x:v>
      </x:c>
      <x:c r="B3" s="2"/>
      <x:c r="C3" s="2"/>
    </x:row>
    <x:row r="4" ht="22" customHeight="1">
      <x:c r="A4" s="7" t="str">
        <x:v>Источник: OECD (2025), Mapping the Semiconductor Value Chain, DOI 10.1787/4154cdbf-en; глава 1.</x:v>
      </x:c>
      <x:c r="B4" s="2"/>
      <x:c r="C4" s="2"/>
    </x:row>
    <x:row r="5" ht="26" customHeight="1">
      <x:c r="A5" s="8" t="str">
        <x:v>Блоки</x:v>
      </x:c>
      <x:c r="B5" s="2"/>
      <x:c r="C5" s="2"/>
    </x:row>
    <x:row r="6" ht="36" customHeight="1">
      <x:c r="A6" s="13" t="str">
        <x:v>ID</x:v>
      </x:c>
      <x:c r="B6" s="13" t="str">
        <x:v>Блок</x:v>
      </x:c>
      <x:c r="C6" s="13" t="str">
        <x:v>Роль</x:v>
      </x:c>
    </x:row>
    <x:row r="7" ht="22" customHeight="1">
      <x:c r="A7" s="15" t="str">
        <x:v>DES</x:v>
      </x:c>
      <x:c r="B7" s="15" t="str">
        <x:v>Проектирование</x:v>
      </x:c>
      <x:c r="C7" s="15" t="str">
        <x:v>Архитектура и разработка схемы</x:v>
      </x:c>
    </x:row>
    <x:row r="8" ht="22" customHeight="1">
      <x:c r="A8" s="15" t="str">
        <x:v>FAB</x:v>
      </x:c>
      <x:c r="B8" s="15" t="str">
        <x:v>Изготовление пластин</x:v>
      </x:c>
      <x:c r="C8" s="15" t="str">
        <x:v>Производство кристаллов</x:v>
      </x:c>
    </x:row>
    <x:row r="9" ht="22" customHeight="1">
      <x:c r="A9" s="15" t="str">
        <x:v>ATP</x:v>
      </x:c>
      <x:c r="B9" s="15" t="str">
        <x:v>Корпусирование и тестирование</x:v>
      </x:c>
      <x:c r="C9" s="15" t="str">
        <x:v>Сборка, контроль и испытания</x:v>
      </x:c>
    </x:row>
    <x:row r="10" ht="22" customHeight="1">
      <x:c r="A10" s="15" t="str">
        <x:v>APP</x:v>
      </x:c>
      <x:c r="B10" s="15" t="str">
        <x:v>Применение</x:v>
      </x:c>
      <x:c r="C10" s="15" t="str">
        <x:v>Включение в конечное оборудование</x:v>
      </x:c>
    </x:row>
    <x:row r="11" ht="22" customHeight="1">
      <x:c r="A11" s="15" t="str">
        <x:v>EDA</x:v>
      </x:c>
      <x:c r="B11" s="15" t="str">
        <x:v>Средства проектирования и IP</x:v>
      </x:c>
      <x:c r="C11" s="15" t="str">
        <x:v>Обеспечивающий ресурс</x:v>
      </x:c>
    </x:row>
    <x:row r="12" ht="22" customHeight="1">
      <x:c r="A12" s="15" t="str">
        <x:v>EQUIP</x:v>
      </x:c>
      <x:c r="B12" s="15" t="str">
        <x:v>Оборудование</x:v>
      </x:c>
      <x:c r="C12" s="15" t="str">
        <x:v>Обеспечивающий ресурс</x:v>
      </x:c>
    </x:row>
    <x:row r="13" ht="22" customHeight="1">
      <x:c r="A13" s="15" t="str">
        <x:v>MAT</x:v>
      </x:c>
      <x:c r="B13" s="15" t="str">
        <x:v>Материалы</x:v>
      </x:c>
      <x:c r="C13" s="15" t="str">
        <x:v>Обеспечивающий ресурс</x:v>
      </x:c>
    </x:row>
    <x:row r="14" ht="22" customHeight="1">
      <x:c r="A14" s="2"/>
      <x:c r="B14" s="2"/>
      <x:c r="C14" s="2"/>
    </x:row>
    <x:row r="15" ht="22" customHeight="1">
      <x:c r="A15" s="2"/>
      <x:c r="B15" s="2"/>
      <x:c r="C15" s="2"/>
    </x:row>
    <x:row r="16" ht="26" customHeight="1">
      <x:c r="A16" s="8" t="str">
        <x:v>Связи</x:v>
      </x:c>
      <x:c r="B16" s="2"/>
      <x:c r="C16" s="2"/>
    </x:row>
    <x:row r="17" ht="36" customHeight="1">
      <x:c r="A17" s="13" t="str">
        <x:v>Из блока</x:v>
      </x:c>
      <x:c r="B17" s="13" t="str">
        <x:v>В блок</x:v>
      </x:c>
      <x:c r="C17" s="13" t="str">
        <x:v>Подпись</x:v>
      </x:c>
    </x:row>
    <x:row r="18" ht="22" customHeight="1">
      <x:c r="A18" s="15" t="str">
        <x:v>DES</x:v>
      </x:c>
      <x:c r="B18" s="15" t="str">
        <x:v>FAB</x:v>
      </x:c>
      <x:c r="C18" s="15" t="str">
        <x:v>Передача проекта</x:v>
      </x:c>
    </x:row>
    <x:row r="19" ht="22" customHeight="1">
      <x:c r="A19" s="15" t="str">
        <x:v>FAB</x:v>
      </x:c>
      <x:c r="B19" s="15" t="str">
        <x:v>ATP</x:v>
      </x:c>
      <x:c r="C19" s="15" t="str">
        <x:v>Кристаллы</x:v>
      </x:c>
    </x:row>
    <x:row r="20" ht="22" customHeight="1">
      <x:c r="A20" s="15" t="str">
        <x:v>ATP</x:v>
      </x:c>
      <x:c r="B20" s="15" t="str">
        <x:v>APP</x:v>
      </x:c>
      <x:c r="C20" s="15" t="str">
        <x:v>Готовые схемы</x:v>
      </x:c>
    </x:row>
    <x:row r="21" ht="22" customHeight="1">
      <x:c r="A21" s="15" t="str">
        <x:v>EDA</x:v>
      </x:c>
      <x:c r="B21" s="15" t="str">
        <x:v>DES</x:v>
      </x:c>
      <x:c r="C21" s="15" t="str">
        <x:v>Средства и лицензии</x:v>
      </x:c>
    </x:row>
    <x:row r="22" ht="22" customHeight="1">
      <x:c r="A22" s="15" t="str">
        <x:v>EQUIP</x:v>
      </x:c>
      <x:c r="B22" s="15" t="str">
        <x:v>FAB</x:v>
      </x:c>
      <x:c r="C22" s="15" t="str">
        <x:v>Технологическое оснащение</x:v>
      </x:c>
    </x:row>
    <x:row r="23" ht="22" customHeight="1">
      <x:c r="A23" s="15" t="str">
        <x:v>EQUIP</x:v>
      </x:c>
      <x:c r="B23" s="15" t="str">
        <x:v>ATP</x:v>
      </x:c>
      <x:c r="C23" s="15" t="str">
        <x:v>Средства сборки и тестирования</x:v>
      </x:c>
    </x:row>
    <x:row r="24" ht="22" customHeight="1">
      <x:c r="A24" s="15" t="str">
        <x:v>MAT</x:v>
      </x:c>
      <x:c r="B24" s="15" t="str">
        <x:v>FAB</x:v>
      </x:c>
      <x:c r="C24" s="15" t="str">
        <x:v>Производственные материалы</x:v>
      </x:c>
    </x:row>
    <x:row r="25" ht="22" customHeight="1">
      <x:c r="A25" s="15" t="str">
        <x:v>MAT</x:v>
      </x:c>
      <x:c r="B25" s="15" t="str">
        <x:v>ATP</x:v>
      </x:c>
      <x:c r="C25" s="15" t="str">
        <x:v>Материалы корпусирования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0" hidden="0" customWidth="1"/>
    <x:col min="3" max="3" width="65" hidden="0" customWidth="1"/>
  </x:cols>
  <x:sheetData>
    <x:row r="1" ht="8" customHeight="1">
      <x:c r="A1" s="2"/>
      <x:c r="B1" s="2"/>
      <x:c r="C1" s="2"/>
    </x:row>
    <x:row r="2" ht="29" customHeight="1">
      <x:c r="A2" s="4" t="str">
        <x:v>1.2 Структура экспорта и условная волатильность</x:v>
      </x:c>
      <x:c r="B2" s="5"/>
      <x:c r="C2" s="5"/>
    </x:row>
    <x:row r="3" ht="22" customHeight="1">
      <x:c r="A3" s="6" t="str">
        <x:v>Схема расчётных связей. Стрелки не обозначают установленный причинный эффект.</x:v>
      </x:c>
      <x:c r="B3" s="2"/>
      <x:c r="C3" s="2"/>
    </x:row>
    <x:row r="4" ht="22" customHeight="1">
      <x:c r="A4" s="7" t="str">
        <x:v>Источник: Авторская схема по главе 1 и методике основной модели.</x:v>
      </x:c>
      <x:c r="B4" s="2"/>
      <x:c r="C4" s="2"/>
    </x:row>
    <x:row r="5" ht="26" customHeight="1">
      <x:c r="A5" s="8" t="str">
        <x:v>Блоки</x:v>
      </x:c>
      <x:c r="B5" s="2"/>
      <x:c r="C5" s="2"/>
    </x:row>
    <x:row r="6" ht="36" customHeight="1">
      <x:c r="A6" s="13" t="str">
        <x:v>ID</x:v>
      </x:c>
      <x:c r="B6" s="13" t="str">
        <x:v>Блок</x:v>
      </x:c>
      <x:c r="C6" s="13" t="str">
        <x:v>Определение</x:v>
      </x:c>
    </x:row>
    <x:row r="7" ht="22" customHeight="1">
      <x:c r="A7" s="15" t="str">
        <x:v>P</x:v>
      </x:c>
      <x:c r="B7" s="15" t="str">
        <x:v>Товарные доли p</x:v>
      </x:c>
      <x:c r="C7" s="15" t="str">
        <x:v>Доли четырёх кодов в экспорте</x:v>
      </x:c>
    </x:row>
    <x:row r="8" ht="22" customHeight="1">
      <x:c r="A8" s="15" t="str">
        <x:v>Q</x:v>
      </x:c>
      <x:c r="B8" s="15" t="str">
        <x:v>География внутри товара q</x:v>
      </x:c>
      <x:c r="C8" s="15" t="str">
        <x:v>Доли девяти направлений внутри каждого кода</x:v>
      </x:c>
    </x:row>
    <x:row r="9" ht="22" customHeight="1">
      <x:c r="A9" s="15" t="str">
        <x:v>W</x:v>
      </x:c>
      <x:c r="B9" s="15" t="str">
        <x:v>Веса ячеек w</x:v>
      </x:c>
      <x:c r="C9" s="15" t="str">
        <x:v>w = p × q</x:v>
      </x:c>
    </x:row>
    <x:row r="10" ht="22" customHeight="1">
      <x:c r="A10" s="15" t="str">
        <x:v>G</x:v>
      </x:c>
      <x:c r="B10" s="15" t="str">
        <x:v>Рост ячеек g</x:v>
      </x:c>
      <x:c r="C10" s="15" t="str">
        <x:v>Симметричный рост к тому же месяцу прошлого года</x:v>
      </x:c>
    </x:row>
    <x:row r="11" ht="22" customHeight="1">
      <x:c r="A11" s="15" t="str">
        <x:v>SIG</x:v>
      </x:c>
      <x:c r="B11" s="15" t="str">
        <x:v>Ковариационная матрица Σ</x:v>
      </x:c>
      <x:c r="C11" s="15" t="str">
        <x:v>История 2018–2024, 36 ячеек</x:v>
      </x:c>
    </x:row>
    <x:row r="12" ht="22" customHeight="1">
      <x:c r="A12" s="15" t="str">
        <x:v>V</x:v>
      </x:c>
      <x:c r="B12" s="15" t="str">
        <x:v>Условная дисперсия V</x:v>
      </x:c>
      <x:c r="C12" s="15" t="str">
        <x:v>V = w′Σw</x:v>
      </x:c>
    </x:row>
    <x:row r="13" ht="22" customHeight="1">
      <x:c r="A13" s="15" t="str">
        <x:v>SD</x:v>
      </x:c>
      <x:c r="B13" s="15" t="str">
        <x:v>Условная волатильность</x:v>
      </x:c>
      <x:c r="C13" s="15" t="str">
        <x:v>SD = √V</x:v>
      </x:c>
    </x:row>
    <x:row r="14" ht="22" customHeight="1">
      <x:c r="A14" s="2"/>
      <x:c r="B14" s="2"/>
      <x:c r="C14" s="2"/>
    </x:row>
    <x:row r="15" ht="22" customHeight="1">
      <x:c r="A15" s="2"/>
      <x:c r="B15" s="2"/>
      <x:c r="C15" s="2"/>
    </x:row>
    <x:row r="16" ht="26" customHeight="1">
      <x:c r="A16" s="8" t="str">
        <x:v>Связи</x:v>
      </x:c>
      <x:c r="B16" s="2"/>
      <x:c r="C16" s="2"/>
    </x:row>
    <x:row r="17" ht="36" customHeight="1">
      <x:c r="A17" s="13" t="str">
        <x:v>Из блока</x:v>
      </x:c>
      <x:c r="B17" s="13" t="str">
        <x:v>В блок</x:v>
      </x:c>
      <x:c r="C17" s="13" t="str">
        <x:v>Подпись</x:v>
      </x:c>
    </x:row>
    <x:row r="18" ht="22" customHeight="1">
      <x:c r="A18" s="15" t="str">
        <x:v>P</x:v>
      </x:c>
      <x:c r="B18" s="15" t="str">
        <x:v>W</x:v>
      </x:c>
      <x:c r="C18" s="15" t="str">
        <x:v>Товарная структура</x:v>
      </x:c>
    </x:row>
    <x:row r="19" ht="22" customHeight="1">
      <x:c r="A19" s="15" t="str">
        <x:v>Q</x:v>
      </x:c>
      <x:c r="B19" s="15" t="str">
        <x:v>W</x:v>
      </x:c>
      <x:c r="C19" s="15" t="str">
        <x:v>География</x:v>
      </x:c>
    </x:row>
    <x:row r="20" ht="22" customHeight="1">
      <x:c r="A20" s="15" t="str">
        <x:v>G</x:v>
      </x:c>
      <x:c r="B20" s="15" t="str">
        <x:v>SIG</x:v>
      </x:c>
      <x:c r="C20" s="15" t="str">
        <x:v>Совместная динамика</x:v>
      </x:c>
    </x:row>
    <x:row r="21" ht="22" customHeight="1">
      <x:c r="A21" s="15" t="str">
        <x:v>W</x:v>
      </x:c>
      <x:c r="B21" s="15" t="str">
        <x:v>V</x:v>
      </x:c>
      <x:c r="C21" s="15" t="str">
        <x:v>Фиксированные веса</x:v>
      </x:c>
    </x:row>
    <x:row r="22" ht="22" customHeight="1">
      <x:c r="A22" s="15" t="str">
        <x:v>SIG</x:v>
      </x:c>
      <x:c r="B22" s="15" t="str">
        <x:v>V</x:v>
      </x:c>
      <x:c r="C22" s="15" t="str">
        <x:v>Собственные дисперсии и ковариации</x:v>
      </x:c>
    </x:row>
    <x:row r="23" ht="22" customHeight="1">
      <x:c r="A23" s="15" t="str">
        <x:v>V</x:v>
      </x:c>
      <x:c r="B23" s="15" t="str">
        <x:v>SD</x:v>
      </x:c>
      <x:c r="C23" s="15" t="str">
        <x:v>Квадратный корень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8" customHeight="1">
      <x:c r="A1" s="2"/>
      <x:c r="B1" s="2"/>
      <x:c r="C1" s="2"/>
      <x:c r="D1" s="2"/>
    </x:row>
    <x:row r="2" ht="29" customHeight="1">
      <x:c r="A2" s="4" t="str">
        <x:v>1.3 Число рынков и корреляция: учебный пример</x:v>
      </x:c>
      <x:c r="B2" s="5"/>
      <x:c r="C2" s="5"/>
      <x:c r="D2" s="5"/>
    </x:row>
    <x:row r="3" ht="44" customHeight="1">
      <x:c r="A3" s="6" t="str">
        <x:v>Равные веса и одинаковая индивидуальная волатильность. Это не оценка по данным Японии или
Кореи.</x:v>
      </x:c>
      <x:c r="B3" s="2"/>
      <x:c r="C3" s="2"/>
      <x:c r="D3" s="2"/>
    </x:row>
    <x:row r="4" ht="22" customHeight="1">
      <x:c r="A4" s="7" t="str">
        <x:v>Источник: Математическое тождество Var среднего равно σ²[ρ+(1−ρ)/N].</x:v>
      </x:c>
      <x:c r="B4" s="2"/>
      <x:c r="C4" s="2"/>
      <x:c r="D4" s="2"/>
    </x:row>
    <x:row r="5" ht="26" customHeight="1">
      <x:c r="A5" s="8" t="str">
        <x:v>Редактируемые параметры</x:v>
      </x:c>
      <x:c r="B5" s="2"/>
      <x:c r="C5" s="2"/>
      <x:c r="D5" s="2"/>
    </x:row>
    <x:row r="6" ht="36" customHeight="1">
      <x:c r="A6" s="13" t="str">
        <x:v>Параметр</x:v>
      </x:c>
      <x:c r="B6" s="13" t="str">
        <x:v>Значение</x:v>
      </x:c>
      <x:c r="C6" s="2"/>
      <x:c r="D6" s="2"/>
    </x:row>
    <x:row r="7" ht="22" customHeight="1">
      <x:c r="A7" s="15" t="str">
        <x:v>Индивидуальная SD, п.п.</x:v>
      </x:c>
      <x:c r="B7" s="17" t="n">
        <x:v>10</x:v>
      </x:c>
      <x:c r="C7" s="2"/>
      <x:c r="D7" s="2"/>
    </x:row>
    <x:row r="8" ht="22" customHeight="1">
      <x:c r="A8" s="15" t="str">
        <x:v>Корреляция ρ₁</x:v>
      </x:c>
      <x:c r="B8" s="17" t="n">
        <x:v>0</x:v>
      </x:c>
      <x:c r="C8" s="2"/>
      <x:c r="D8" s="2"/>
    </x:row>
    <x:row r="9" ht="22" customHeight="1">
      <x:c r="A9" s="15" t="str">
        <x:v>Корреляция ρ₂</x:v>
      </x:c>
      <x:c r="B9" s="17" t="n">
        <x:v>0.5</x:v>
      </x:c>
      <x:c r="C9" s="2"/>
      <x:c r="D9" s="2"/>
    </x:row>
    <x:row r="10" ht="22" customHeight="1">
      <x:c r="A10" s="15" t="str">
        <x:v>Корреляция ρ₃</x:v>
      </x:c>
      <x:c r="B10" s="17" t="n">
        <x:v>0.9</x:v>
      </x:c>
      <x:c r="C10" s="2"/>
      <x:c r="D10" s="2"/>
    </x:row>
    <x:row r="11" ht="22" customHeight="1">
      <x:c r="A11" s="2"/>
      <x:c r="B11" s="2"/>
      <x:c r="C11" s="2"/>
      <x:c r="D11" s="2"/>
    </x:row>
    <x:row r="12" ht="22" customHeight="1">
      <x:c r="A12" s="2"/>
      <x:c r="B12" s="2"/>
      <x:c r="C12" s="2"/>
      <x:c r="D12" s="2"/>
    </x:row>
    <x:row r="13" ht="26" customHeight="1">
      <x:c r="A13" s="8" t="str">
        <x:v>Данные кривых</x:v>
      </x:c>
      <x:c r="B13" s="2"/>
      <x:c r="C13" s="2"/>
      <x:c r="D13" s="2"/>
    </x:row>
    <x:row r="14" ht="36" customHeight="1">
      <x:c r="A14" s="13" t="str">
        <x:v>Число рынков</x:v>
      </x:c>
      <x:c r="B14" s="13" t="str">
        <x:v>SD при ρ₁, п.п.</x:v>
      </x:c>
      <x:c r="C14" s="13" t="str">
        <x:v>SD при ρ₂, п.п.</x:v>
      </x:c>
      <x:c r="D14" s="13" t="str">
        <x:v>SD при ρ₃, п.п.</x:v>
      </x:c>
    </x:row>
    <x:row r="15" ht="22" customHeight="1">
      <x:c r="A15" s="18" t="n">
        <x:v>1</x:v>
      </x:c>
      <x:c r="B15" s="19" t="n">
        <x:f>$B$7*SQRT($B$8+(1-$B$8)/A15)</x:f>
        <x:v>10</x:v>
      </x:c>
      <x:c r="C15" s="19" t="n">
        <x:f>$B$7*SQRT($B$9+(1-$B$9)/A15)</x:f>
        <x:v>10</x:v>
      </x:c>
      <x:c r="D15" s="19" t="n">
        <x:f>$B$7*SQRT($B$10+(1-$B$10)/A15)</x:f>
        <x:v>10</x:v>
      </x:c>
    </x:row>
    <x:row r="16" ht="22" customHeight="1">
      <x:c r="A16" s="18" t="n">
        <x:v>2</x:v>
      </x:c>
      <x:c r="B16" s="19" t="n">
        <x:f>$B$7*SQRT($B$8+(1-$B$8)/A16)</x:f>
        <x:v>7.0710678118654755</x:v>
      </x:c>
      <x:c r="C16" s="19" t="n">
        <x:f>$B$7*SQRT($B$9+(1-$B$9)/A16)</x:f>
        <x:v>8.660254037844386</x:v>
      </x:c>
      <x:c r="D16" s="19" t="n">
        <x:f>$B$7*SQRT($B$10+(1-$B$10)/A16)</x:f>
        <x:v>9.746794344808963</x:v>
      </x:c>
    </x:row>
    <x:row r="17" ht="22" customHeight="1">
      <x:c r="A17" s="18" t="n">
        <x:v>3</x:v>
      </x:c>
      <x:c r="B17" s="19" t="n">
        <x:f>$B$7*SQRT($B$8+(1-$B$8)/A17)</x:f>
        <x:v>5.773502691896257</x:v>
      </x:c>
      <x:c r="C17" s="19" t="n">
        <x:f>$B$7*SQRT($B$9+(1-$B$9)/A17)</x:f>
        <x:v>8.16496580927726</x:v>
      </x:c>
      <x:c r="D17" s="19" t="n">
        <x:f>$B$7*SQRT($B$10+(1-$B$10)/A17)</x:f>
        <x:v>9.66091783079296</x:v>
      </x:c>
    </x:row>
    <x:row r="18" ht="22" customHeight="1">
      <x:c r="A18" s="18" t="n">
        <x:v>4</x:v>
      </x:c>
      <x:c r="B18" s="19" t="n">
        <x:f>$B$7*SQRT($B$8+(1-$B$8)/A18)</x:f>
        <x:v>5</x:v>
      </x:c>
      <x:c r="C18" s="19" t="n">
        <x:f>$B$7*SQRT($B$9+(1-$B$9)/A18)</x:f>
        <x:v>7.905694150420949</x:v>
      </x:c>
      <x:c r="D18" s="19" t="n">
        <x:f>$B$7*SQRT($B$10+(1-$B$10)/A18)</x:f>
        <x:v>9.617692030835673</x:v>
      </x:c>
    </x:row>
    <x:row r="19" ht="22" customHeight="1">
      <x:c r="A19" s="18" t="n">
        <x:v>5</x:v>
      </x:c>
      <x:c r="B19" s="19" t="n">
        <x:f>$B$7*SQRT($B$8+(1-$B$8)/A19)</x:f>
        <x:v>4.47213595499958</x:v>
      </x:c>
      <x:c r="C19" s="19" t="n">
        <x:f>$B$7*SQRT($B$9+(1-$B$9)/A19)</x:f>
        <x:v>7.745966692414834</x:v>
      </x:c>
      <x:c r="D19" s="19" t="n">
        <x:f>$B$7*SQRT($B$10+(1-$B$10)/A19)</x:f>
        <x:v>9.59166304662544</x:v>
      </x:c>
    </x:row>
    <x:row r="20" ht="22" customHeight="1">
      <x:c r="A20" s="18" t="n">
        <x:v>6</x:v>
      </x:c>
      <x:c r="B20" s="19" t="n">
        <x:f>$B$7*SQRT($B$8+(1-$B$8)/A20)</x:f>
        <x:v>4.08248290463863</x:v>
      </x:c>
      <x:c r="C20" s="19" t="n">
        <x:f>$B$7*SQRT($B$9+(1-$B$9)/A20)</x:f>
        <x:v>7.637626158259733</x:v>
      </x:c>
      <x:c r="D20" s="19" t="n">
        <x:f>$B$7*SQRT($B$10+(1-$B$10)/A20)</x:f>
        <x:v>9.574271077563381</x:v>
      </x:c>
    </x:row>
    <x:row r="21" ht="22" customHeight="1">
      <x:c r="A21" s="18" t="n">
        <x:v>7</x:v>
      </x:c>
      <x:c r="B21" s="19" t="n">
        <x:f>$B$7*SQRT($B$8+(1-$B$8)/A21)</x:f>
        <x:v>3.779644730092272</x:v>
      </x:c>
      <x:c r="C21" s="19" t="n">
        <x:f>$B$7*SQRT($B$9+(1-$B$9)/A21)</x:f>
        <x:v>7.559289460184544</x:v>
      </x:c>
      <x:c r="D21" s="19" t="n">
        <x:f>$B$7*SQRT($B$10+(1-$B$10)/A21)</x:f>
        <x:v>9.561828874675149</x:v>
      </x:c>
    </x:row>
    <x:row r="22" ht="22" customHeight="1">
      <x:c r="A22" s="18" t="n">
        <x:v>8</x:v>
      </x:c>
      <x:c r="B22" s="19" t="n">
        <x:f>$B$7*SQRT($B$8+(1-$B$8)/A22)</x:f>
        <x:v>3.5355339059327378</x:v>
      </x:c>
      <x:c r="C22" s="19" t="n">
        <x:f>$B$7*SQRT($B$9+(1-$B$9)/A22)</x:f>
        <x:v>7.5</x:v>
      </x:c>
      <x:c r="D22" s="19" t="n">
        <x:f>$B$7*SQRT($B$10+(1-$B$10)/A22)</x:f>
        <x:v>9.5524865872714</x:v>
      </x:c>
    </x:row>
    <x:row r="23" ht="22" customHeight="1">
      <x:c r="A23" s="18" t="n">
        <x:v>9</x:v>
      </x:c>
      <x:c r="B23" s="19" t="n">
        <x:f>$B$7*SQRT($B$8+(1-$B$8)/A23)</x:f>
        <x:v>3.333333333333333</x:v>
      </x:c>
      <x:c r="C23" s="19" t="n">
        <x:f>$B$7*SQRT($B$9+(1-$B$9)/A23)</x:f>
        <x:v>7.453559924999299</x:v>
      </x:c>
      <x:c r="D23" s="19" t="n">
        <x:f>$B$7*SQRT($B$10+(1-$B$10)/A23)</x:f>
        <x:v>9.545214042184236</x:v>
      </x:c>
    </x:row>
    <x:row r="24" ht="22" customHeight="1">
      <x:c r="A24" s="18" t="n">
        <x:v>10</x:v>
      </x:c>
      <x:c r="B24" s="19" t="n">
        <x:f>$B$7*SQRT($B$8+(1-$B$8)/A24)</x:f>
        <x:v>3.1622776601683795</x:v>
      </x:c>
      <x:c r="C24" s="19" t="n">
        <x:f>$B$7*SQRT($B$9+(1-$B$9)/A24)</x:f>
        <x:v>7.416198487095663</x:v>
      </x:c>
      <x:c r="D24" s="19" t="n">
        <x:f>$B$7*SQRT($B$10+(1-$B$10)/A24)</x:f>
        <x:v>9.539392014169456</x:v>
      </x:c>
    </x:row>
    <x:row r="25" ht="22" customHeight="1">
      <x:c r="A25" s="18" t="n">
        <x:v>11</x:v>
      </x:c>
      <x:c r="B25" s="19" t="n">
        <x:f>$B$7*SQRT($B$8+(1-$B$8)/A25)</x:f>
        <x:v>3.0151134457776365</x:v>
      </x:c>
      <x:c r="C25" s="19" t="n">
        <x:f>$B$7*SQRT($B$9+(1-$B$9)/A25)</x:f>
        <x:v>7.385489458759964</x:v>
      </x:c>
      <x:c r="D25" s="19" t="n">
        <x:f>$B$7*SQRT($B$10+(1-$B$10)/A25)</x:f>
        <x:v>9.534625892455924</x:v>
      </x:c>
    </x:row>
    <x:row r="26" ht="22" customHeight="1">
      <x:c r="A26" s="18" t="n">
        <x:v>12</x:v>
      </x:c>
      <x:c r="B26" s="19" t="n">
        <x:f>$B$7*SQRT($B$8+(1-$B$8)/A26)</x:f>
        <x:v>2.8867513459481287</x:v>
      </x:c>
      <x:c r="C26" s="19" t="n">
        <x:f>$B$7*SQRT($B$9+(1-$B$9)/A26)</x:f>
        <x:v>7.359800721939872</x:v>
      </x:c>
      <x:c r="D26" s="19" t="n">
        <x:f>$B$7*SQRT($B$10+(1-$B$10)/A26)</x:f>
        <x:v>9.530652303663864</x:v>
      </x:c>
    </x:row>
    <x:row r="27" ht="22" customHeight="1">
      <x:c r="A27" s="18" t="n">
        <x:v>13</x:v>
      </x:c>
      <x:c r="B27" s="19" t="n">
        <x:f>$B$7*SQRT($B$8+(1-$B$8)/A27)</x:f>
        <x:v>2.773500981126146</x:v>
      </x:c>
      <x:c r="C27" s="19" t="n">
        <x:f>$B$7*SQRT($B$9+(1-$B$9)/A27)</x:f>
        <x:v>7.337993857053427</x:v>
      </x:c>
      <x:c r="D27" s="19" t="n">
        <x:f>$B$7*SQRT($B$10+(1-$B$10)/A27)</x:f>
        <x:v>9.527288741779099</x:v>
      </x:c>
    </x:row>
    <x:row r="28" ht="22" customHeight="1">
      <x:c r="A28" s="18" t="n">
        <x:v>14</x:v>
      </x:c>
      <x:c r="B28" s="19" t="n">
        <x:f>$B$7*SQRT($B$8+(1-$B$8)/A28)</x:f>
        <x:v>2.6726124191242437</x:v>
      </x:c>
      <x:c r="C28" s="19" t="n">
        <x:f>$B$7*SQRT($B$9+(1-$B$9)/A28)</x:f>
        <x:v>7.319250547113999</x:v>
      </x:c>
      <x:c r="D28" s="19" t="n">
        <x:f>$B$7*SQRT($B$10+(1-$B$10)/A28)</x:f>
        <x:v>9.524404743304734</x:v>
      </x:c>
    </x:row>
    <x:row r="29" ht="22" customHeight="1">
      <x:c r="A29" s="18" t="n">
        <x:v>15</x:v>
      </x:c>
      <x:c r="B29" s="19" t="n">
        <x:f>$B$7*SQRT($B$8+(1-$B$8)/A29)</x:f>
        <x:v>2.5819888974716108</x:v>
      </x:c>
      <x:c r="C29" s="19" t="n">
        <x:f>$B$7*SQRT($B$9+(1-$B$9)/A29)</x:f>
        <x:v>7.302967433402214</x:v>
      </x:c>
      <x:c r="D29" s="19" t="n">
        <x:f>$B$7*SQRT($B$10+(1-$B$10)/A29)</x:f>
        <x:v>9.521904571390467</x:v>
      </x:c>
    </x:row>
    <x:row r="30" ht="22" customHeight="1">
      <x:c r="A30" s="18" t="n">
        <x:v>16</x:v>
      </x:c>
      <x:c r="B30" s="19" t="n">
        <x:f>$B$7*SQRT($B$8+(1-$B$8)/A30)</x:f>
        <x:v>2.5</x:v>
      </x:c>
      <x:c r="C30" s="19" t="n">
        <x:f>$B$7*SQRT($B$9+(1-$B$9)/A30)</x:f>
        <x:v>7.2886898685566255</x:v>
      </x:c>
      <x:c r="D30" s="19" t="n">
        <x:f>$B$7*SQRT($B$10+(1-$B$10)/A30)</x:f>
        <x:v>9.519716382329886</x:v>
      </x:c>
    </x:row>
    <x:row r="31" ht="22" customHeight="1">
      <x:c r="A31" s="18" t="n">
        <x:v>17</x:v>
      </x:c>
      <x:c r="B31" s="19" t="n">
        <x:f>$B$7*SQRT($B$8+(1-$B$8)/A31)</x:f>
        <x:v>2.42535625036333</x:v>
      </x:c>
      <x:c r="C31" s="19" t="n">
        <x:f>$B$7*SQRT($B$9+(1-$B$9)/A31)</x:f>
        <x:v>7.276068751089989</x:v>
      </x:c>
      <x:c r="D31" s="19" t="n">
        <x:f>$B$7*SQRT($B$10+(1-$B$10)/A31)</x:f>
        <x:v>9.517785209496884</x:v>
      </x:c>
    </x:row>
    <x:row r="32" ht="22" customHeight="1">
      <x:c r="A32" s="18" t="n">
        <x:v>18</x:v>
      </x:c>
      <x:c r="B32" s="19" t="n">
        <x:f>$B$7*SQRT($B$8+(1-$B$8)/A32)</x:f>
        <x:v>2.3570226039551585</x:v>
      </x:c>
      <x:c r="C32" s="19" t="n">
        <x:f>$B$7*SQRT($B$9+(1-$B$9)/A32)</x:f>
        <x:v>7.26483157256779</x:v>
      </x:c>
      <x:c r="D32" s="19" t="n">
        <x:f>$B$7*SQRT($B$10+(1-$B$10)/A32)</x:f>
        <x:v>9.516068282413464</x:v>
      </x:c>
    </x:row>
    <x:row r="33" ht="22" customHeight="1">
      <x:c r="A33" s="18" t="n">
        <x:v>19</x:v>
      </x:c>
      <x:c r="B33" s="19" t="n">
        <x:f>$B$7*SQRT($B$8+(1-$B$8)/A33)</x:f>
        <x:v>2.2941573387056176</x:v>
      </x:c>
      <x:c r="C33" s="19" t="n">
        <x:f>$B$7*SQRT($B$9+(1-$B$9)/A33)</x:f>
        <x:v>7.254762501100116</x:v>
      </x:c>
      <x:c r="D33" s="19" t="n">
        <x:f>$B$7*SQRT($B$10+(1-$B$10)/A33)</x:f>
        <x:v>9.514531821875089</x:v>
      </x:c>
    </x:row>
    <x:row r="34" ht="22" customHeight="1">
      <x:c r="A34" s="18" t="n">
        <x:v>20</x:v>
      </x:c>
      <x:c r="B34" s="19" t="n">
        <x:f>$B$7*SQRT($B$8+(1-$B$8)/A34)</x:f>
        <x:v>2.23606797749979</x:v>
      </x:c>
      <x:c r="C34" s="19" t="n">
        <x:f>$B$7*SQRT($B$9+(1-$B$9)/A34)</x:f>
        <x:v>7.24568837309472</x:v>
      </x:c>
      <x:c r="D34" s="19" t="n">
        <x:f>$B$7*SQRT($B$10+(1-$B$10)/A34)</x:f>
        <x:v>9.513148795220225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8" customHeight="1">
      <x:c r="A1" s="2"/>
      <x:c r="B1" s="2"/>
      <x:c r="C1" s="2"/>
      <x:c r="D1" s="2"/>
      <x:c r="E1" s="2"/>
    </x:row>
    <x:row r="2" ht="29" customHeight="1">
      <x:c r="A2" s="4" t="str">
        <x:v>2.1 Экспорт и наблюдаемый месячный рост</x:v>
      </x:c>
      <x:c r="B2" s="5"/>
      <x:c r="C2" s="5"/>
      <x:c r="D2" s="5"/>
      <x:c r="E2" s="5"/>
    </x:row>
    <x:row r="3" ht="22" customHeight="1">
      <x:c r="A3" s="6" t="str">
        <x:v>Номинальная стоимость в долларах США. Симметричный рост = 200 × (xₜ−xₜ₋₁₂)/(xₜ+xₜ₋₁₂), п.п.</x:v>
      </x:c>
      <x:c r="B3" s="2"/>
      <x:c r="C3" s="2"/>
      <x:c r="D3" s="2"/>
      <x:c r="E3" s="2"/>
    </x:row>
    <x:row r="4" ht="22" customHeight="1">
      <x:c r="A4" s="7" t="str">
        <x:v>Источник: S04</x:v>
      </x:c>
      <x:c r="B4" s="2"/>
      <x:c r="C4" s="2"/>
      <x:c r="D4" s="2"/>
      <x:c r="E4" s="2"/>
    </x:row>
    <x:row r="5" ht="26" customHeight="1">
      <x:c r="A5" s="8" t="str">
        <x:v>Месячные ряды</x:v>
      </x:c>
      <x:c r="B5" s="2"/>
      <x:c r="C5" s="2"/>
      <x:c r="D5" s="2"/>
      <x:c r="E5" s="2"/>
    </x:row>
    <x:row r="6" ht="36" customHeight="1">
      <x:c r="A6" s="13" t="str">
        <x:v>Месяц</x:v>
      </x:c>
      <x:c r="B6" s="13" t="str">
        <x:v>Япония, млрд долл.</x:v>
      </x:c>
      <x:c r="C6" s="13" t="str">
        <x:v>Корея, млрд долл.</x:v>
      </x:c>
      <x:c r="D6" s="13" t="str">
        <x:v>Рост Японии, п.п.</x:v>
      </x:c>
      <x:c r="E6" s="13" t="str">
        <x:v>Рост Кореи, п.п.</x:v>
      </x:c>
    </x:row>
    <x:row r="7" ht="22" customHeight="1">
      <x:c r="A7" s="20" t="d">
        <x:v>2017-01-01T00:00:00.000Z</x:v>
      </x:c>
      <x:c r="B7" s="19" t="n">
        <x:f>'Месяцы_товары'!G7/10^9</x:f>
        <x:v>1.7942077390879998</x:v>
      </x:c>
      <x:c r="C7" s="19" t="n">
        <x:f>'Месяцы_товары'!G103/10^9</x:f>
        <x:v>5.525847166</x:v>
      </x:c>
      <x:c r="D7" s="21"/>
      <x:c r="E7" s="21"/>
    </x:row>
    <x:row r="8" ht="22" customHeight="1">
      <x:c r="A8" s="20" t="d">
        <x:v>2017-02-01T00:00:00.000Z</x:v>
      </x:c>
      <x:c r="B8" s="19" t="n">
        <x:f>'Месяцы_товары'!G8/10^9</x:f>
        <x:v>1.92323543148</x:v>
      </x:c>
      <x:c r="C8" s="19" t="n">
        <x:f>'Месяцы_товары'!G104/10^9</x:f>
        <x:v>5.614399761</x:v>
      </x:c>
      <x:c r="D8" s="21"/>
      <x:c r="E8" s="21"/>
    </x:row>
    <x:row r="9" ht="22" customHeight="1">
      <x:c r="A9" s="20" t="d">
        <x:v>2017-03-01T00:00:00.000Z</x:v>
      </x:c>
      <x:c r="B9" s="19" t="n">
        <x:f>'Месяцы_товары'!G9/10^9</x:f>
        <x:v>1.9880179328199998</x:v>
      </x:c>
      <x:c r="C9" s="19" t="n">
        <x:f>'Месяцы_товары'!G105/10^9</x:f>
        <x:v>6.593292521</x:v>
      </x:c>
      <x:c r="D9" s="21"/>
      <x:c r="E9" s="21"/>
    </x:row>
    <x:row r="10" ht="22" customHeight="1">
      <x:c r="A10" s="20" t="d">
        <x:v>2017-04-01T00:00:00.000Z</x:v>
      </x:c>
      <x:c r="B10" s="19" t="n">
        <x:f>'Месяцы_товары'!G10/10^9</x:f>
        <x:v>2.0066625076960003</x:v>
      </x:c>
      <x:c r="C10" s="19" t="n">
        <x:f>'Месяцы_товары'!G106/10^9</x:f>
        <x:v>6.211811945</x:v>
      </x:c>
      <x:c r="D10" s="21"/>
      <x:c r="E10" s="21"/>
    </x:row>
    <x:row r="11" ht="22" customHeight="1">
      <x:c r="A11" s="20" t="d">
        <x:v>2017-05-01T00:00:00.000Z</x:v>
      </x:c>
      <x:c r="B11" s="19" t="n">
        <x:f>'Месяцы_товары'!G11/10^9</x:f>
        <x:v>1.8560927313239999</x:v>
      </x:c>
      <x:c r="C11" s="19" t="n">
        <x:f>'Месяцы_товары'!G107/10^9</x:f>
        <x:v>6.542284336</x:v>
      </x:c>
      <x:c r="D11" s="21"/>
      <x:c r="E11" s="21"/>
    </x:row>
    <x:row r="12" ht="22" customHeight="1">
      <x:c r="A12" s="20" t="d">
        <x:v>2017-06-01T00:00:00.000Z</x:v>
      </x:c>
      <x:c r="B12" s="19" t="n">
        <x:f>'Месяцы_товары'!G12/10^9</x:f>
        <x:v>2.06437828296</x:v>
      </x:c>
      <x:c r="C12" s="19" t="n">
        <x:f>'Месяцы_товары'!G108/10^9</x:f>
        <x:v>6.99027795</x:v>
      </x:c>
      <x:c r="D12" s="21"/>
      <x:c r="E12" s="21"/>
    </x:row>
    <x:row r="13" ht="22" customHeight="1">
      <x:c r="A13" s="20" t="d">
        <x:v>2017-07-01T00:00:00.000Z</x:v>
      </x:c>
      <x:c r="B13" s="19" t="n">
        <x:f>'Месяцы_товары'!G13/10^9</x:f>
        <x:v>2.090885464406</x:v>
      </x:c>
      <x:c r="C13" s="19" t="n">
        <x:f>'Месяцы_товары'!G109/10^9</x:f>
        <x:v>6.874468286</x:v>
      </x:c>
      <x:c r="D13" s="21"/>
      <x:c r="E13" s="21"/>
    </x:row>
    <x:row r="14" ht="22" customHeight="1">
      <x:c r="A14" s="20" t="d">
        <x:v>2017-08-01T00:00:00.000Z</x:v>
      </x:c>
      <x:c r="B14" s="19" t="n">
        <x:f>'Месяцы_товары'!G14/10^9</x:f>
        <x:v>2.277722434013</x:v>
      </x:c>
      <x:c r="C14" s="19" t="n">
        <x:f>'Месяцы_товары'!G110/10^9</x:f>
        <x:v>7.568775406</x:v>
      </x:c>
      <x:c r="D14" s="21"/>
      <x:c r="E14" s="21"/>
    </x:row>
    <x:row r="15" ht="22" customHeight="1">
      <x:c r="A15" s="20" t="d">
        <x:v>2017-09-01T00:00:00.000Z</x:v>
      </x:c>
      <x:c r="B15" s="19" t="n">
        <x:f>'Месяцы_товары'!G15/10^9</x:f>
        <x:v>2.2731858856939997</x:v>
      </x:c>
      <x:c r="C15" s="19" t="n">
        <x:f>'Месяцы_товары'!G111/10^9</x:f>
        <x:v>8.409150532</x:v>
      </x:c>
      <x:c r="D15" s="21"/>
      <x:c r="E15" s="21"/>
    </x:row>
    <x:row r="16" ht="22" customHeight="1">
      <x:c r="A16" s="20" t="d">
        <x:v>2017-10-01T00:00:00.000Z</x:v>
      </x:c>
      <x:c r="B16" s="19" t="n">
        <x:f>'Месяцы_товары'!G16/10^9</x:f>
        <x:v>2.1444084342250003</x:v>
      </x:c>
      <x:c r="C16" s="19" t="n">
        <x:f>'Месяцы_товары'!G112/10^9</x:f>
        <x:v>8.42843487</x:v>
      </x:c>
      <x:c r="D16" s="21"/>
      <x:c r="E16" s="21"/>
    </x:row>
    <x:row r="17" ht="22" customHeight="1">
      <x:c r="A17" s="20" t="d">
        <x:v>2017-11-01T00:00:00.000Z</x:v>
      </x:c>
      <x:c r="B17" s="19" t="n">
        <x:f>'Месяцы_товары'!G17/10^9</x:f>
        <x:v>2.241108612498</x:v>
      </x:c>
      <x:c r="C17" s="19" t="n">
        <x:f>'Месяцы_товары'!G113/10^9</x:f>
        <x:v>8.503593426</x:v>
      </x:c>
      <x:c r="D17" s="21"/>
      <x:c r="E17" s="21"/>
    </x:row>
    <x:row r="18" ht="22" customHeight="1">
      <x:c r="A18" s="20" t="d">
        <x:v>2017-12-01T00:00:00.000Z</x:v>
      </x:c>
      <x:c r="B18" s="19" t="n">
        <x:f>'Месяцы_товары'!G18/10^9</x:f>
        <x:v>2.333193812678</x:v>
      </x:c>
      <x:c r="C18" s="19" t="n">
        <x:f>'Месяцы_товары'!G114/10^9</x:f>
        <x:v>8.577618138</x:v>
      </x:c>
      <x:c r="D18" s="21"/>
      <x:c r="E18" s="21"/>
    </x:row>
    <x:row r="19" ht="22" customHeight="1">
      <x:c r="A19" s="20" t="d">
        <x:v>2018-01-01T00:00:00.000Z</x:v>
      </x:c>
      <x:c r="B19" s="19" t="n">
        <x:f>'Месяцы_товары'!G19/10^9</x:f>
        <x:v>1.990167685251</x:v>
      </x:c>
      <x:c r="C19" s="19" t="n">
        <x:f>'Месяцы_товары'!G115/10^9</x:f>
        <x:v>8.52321029</x:v>
      </x:c>
      <x:c r="D19" s="19" t="n">
        <x:f>200*('Месяцы_товары'!G19-'Месяцы_товары'!G7)/('Месяцы_товары'!G19+'Месяцы_товары'!G7)</x:f>
        <x:v>10.356263541016286</x:v>
      </x:c>
      <x:c r="E19" s="19" t="n">
        <x:f>200*('Месяцы_товары'!G115-'Месяцы_товары'!G103)/('Месяцы_товары'!G115+'Месяцы_товары'!G103)</x:f>
        <x:v>42.66995324615035</x:v>
      </x:c>
    </x:row>
    <x:row r="20" ht="22" customHeight="1">
      <x:c r="A20" s="20" t="d">
        <x:v>2018-02-01T00:00:00.000Z</x:v>
      </x:c>
      <x:c r="B20" s="19" t="n">
        <x:f>'Месяцы_товары'!G20/10^9</x:f>
        <x:v>1.9103601088220001</x:v>
      </x:c>
      <x:c r="C20" s="19" t="n">
        <x:f>'Месяцы_товары'!G116/10^9</x:f>
        <x:v>7.953712552</x:v>
      </x:c>
      <x:c r="D20" s="19" t="n">
        <x:f>200*('Месяцы_товары'!G20-'Месяцы_товары'!G8)/('Месяцы_товары'!G20+'Месяцы_товары'!G8)</x:f>
        <x:v>-0.6717100185788358</x:v>
      </x:c>
      <x:c r="E20" s="19" t="n">
        <x:f>200*('Месяцы_товары'!G116-'Месяцы_товары'!G104)/('Месяцы_товары'!G116+'Месяцы_товары'!G104)</x:f>
        <x:v>34.482509239824566</x:v>
      </x:c>
    </x:row>
    <x:row r="21" ht="22" customHeight="1">
      <x:c r="A21" s="20" t="d">
        <x:v>2018-03-01T00:00:00.000Z</x:v>
      </x:c>
      <x:c r="B21" s="19" t="n">
        <x:f>'Месяцы_товары'!G21/10^9</x:f>
        <x:v>2.2283243095120002</x:v>
      </x:c>
      <x:c r="C21" s="19" t="n">
        <x:f>'Месяцы_товары'!G117/10^9</x:f>
        <x:v>9.63229892</x:v>
      </x:c>
      <x:c r="D21" s="19" t="n">
        <x:f>200*('Месяцы_товары'!G21-'Месяцы_товары'!G9)/('Месяцы_товары'!G21+'Месяцы_товары'!G9)</x:f>
        <x:v>11.398807918357694</x:v>
      </x:c>
      <x:c r="E21" s="19" t="n">
        <x:f>200*('Месяцы_товары'!G117-'Месяцы_товары'!G105)/('Месяцы_товары'!G117+'Месяцы_товары'!G105)</x:f>
        <x:v>37.45942217330603</x:v>
      </x:c>
    </x:row>
    <x:row r="22" ht="22" customHeight="1">
      <x:c r="A22" s="20" t="d">
        <x:v>2018-04-01T00:00:00.000Z</x:v>
      </x:c>
      <x:c r="B22" s="19" t="n">
        <x:f>'Месяцы_товары'!G22/10^9</x:f>
        <x:v>2.216199212203</x:v>
      </x:c>
      <x:c r="C22" s="19" t="n">
        <x:f>'Месяцы_товары'!G118/10^9</x:f>
        <x:v>8.546285305</x:v>
      </x:c>
      <x:c r="D22" s="19" t="n">
        <x:f>200*('Месяцы_товары'!G22-'Месяцы_товары'!G10)/('Месяцы_товары'!G22+'Месяцы_товары'!G10)</x:f>
        <x:v>9.923919768417685</x:v>
      </x:c>
      <x:c r="E22" s="19" t="n">
        <x:f>200*('Месяцы_товары'!G118-'Месяцы_товары'!G106)/('Месяцы_товары'!G118+'Месяцы_товары'!G106)</x:f>
        <x:v>31.63650869694601</x:v>
      </x:c>
    </x:row>
    <x:row r="23" ht="22" customHeight="1">
      <x:c r="A23" s="20" t="d">
        <x:v>2018-05-01T00:00:00.000Z</x:v>
      </x:c>
      <x:c r="B23" s="19" t="n">
        <x:f>'Месяцы_товары'!G23/10^9</x:f>
        <x:v>2.0458826103270003</x:v>
      </x:c>
      <x:c r="C23" s="19" t="n">
        <x:f>'Месяцы_товары'!G119/10^9</x:f>
        <x:v>9.407449149</x:v>
      </x:c>
      <x:c r="D23" s="19" t="n">
        <x:f>200*('Месяцы_товары'!G23-'Месяцы_товары'!G11)/('Месяцы_товары'!G23+'Месяцы_товары'!G11)</x:f>
        <x:v>9.727887153827915</x:v>
      </x:c>
      <x:c r="E23" s="19" t="n">
        <x:f>200*('Месяцы_товары'!G119-'Месяцы_товары'!G107)/('Месяцы_товары'!G119+'Месяцы_товары'!G107)</x:f>
        <x:v>35.927431836959</x:v>
      </x:c>
    </x:row>
    <x:row r="24" ht="22" customHeight="1">
      <x:c r="A24" s="20" t="d">
        <x:v>2018-06-01T00:00:00.000Z</x:v>
      </x:c>
      <x:c r="B24" s="19" t="n">
        <x:f>'Месяцы_товары'!G24/10^9</x:f>
        <x:v>2.2749822071079997</x:v>
      </x:c>
      <x:c r="C24" s="19" t="n">
        <x:f>'Месяцы_товары'!G120/10^9</x:f>
        <x:v>9.620247684</x:v>
      </x:c>
      <x:c r="D24" s="19" t="n">
        <x:f>200*('Месяцы_товары'!G24-'Месяцы_товары'!G12)/('Месяцы_товары'!G24+'Месяцы_товары'!G12)</x:f>
        <x:v>9.706680264524394</x:v>
      </x:c>
      <x:c r="E24" s="19" t="n">
        <x:f>200*('Месяцы_товары'!G120-'Месяцы_товары'!G108)/('Месяцы_товары'!G120+'Месяцы_товары'!G108)</x:f>
        <x:v>31.666303546911585</x:v>
      </x:c>
    </x:row>
    <x:row r="25" ht="22" customHeight="1">
      <x:c r="A25" s="20" t="d">
        <x:v>2018-07-01T00:00:00.000Z</x:v>
      </x:c>
      <x:c r="B25" s="19" t="n">
        <x:f>'Месяцы_товары'!G25/10^9</x:f>
        <x:v>2.31314821592</x:v>
      </x:c>
      <x:c r="C25" s="19" t="n">
        <x:f>'Месяцы_товары'!G121/10^9</x:f>
        <x:v>9.025802434</x:v>
      </x:c>
      <x:c r="D25" s="19" t="n">
        <x:f>200*('Месяцы_товары'!G25-'Месяцы_товары'!G13)/('Месяцы_товары'!G25+'Месяцы_товары'!G13)</x:f>
        <x:v>10.09359907972128</x:v>
      </x:c>
      <x:c r="E25" s="19" t="n">
        <x:f>200*('Месяцы_товары'!G121-'Месяцы_товары'!G109)/('Месяцы_товары'!G121+'Месяцы_товары'!G109)</x:f>
        <x:v>27.060346152395574</x:v>
      </x:c>
    </x:row>
    <x:row r="26" ht="22" customHeight="1">
      <x:c r="A26" s="20" t="d">
        <x:v>2018-08-01T00:00:00.000Z</x:v>
      </x:c>
      <x:c r="B26" s="19" t="n">
        <x:f>'Месяцы_товары'!G26/10^9</x:f>
        <x:v>2.353541245612</x:v>
      </x:c>
      <x:c r="C26" s="19" t="n">
        <x:f>'Месяцы_товары'!G122/10^9</x:f>
        <x:v>10.072215286</x:v>
      </x:c>
      <x:c r="D26" s="19" t="n">
        <x:f>200*('Месяцы_товары'!G26-'Месяцы_товары'!G14)/('Месяцы_товары'!G26+'Месяцы_товары'!G14)</x:f>
        <x:v>3.2742170104699864</x:v>
      </x:c>
      <x:c r="E26" s="19" t="n">
        <x:f>200*('Месяцы_товары'!G122-'Месяцы_товары'!G110)/('Месяцы_товары'!G122+'Месяцы_товары'!G110)</x:f>
        <x:v>28.382078123710855</x:v>
      </x:c>
    </x:row>
    <x:row r="27" ht="22" customHeight="1">
      <x:c r="A27" s="20" t="d">
        <x:v>2018-09-01T00:00:00.000Z</x:v>
      </x:c>
      <x:c r="B27" s="19" t="n">
        <x:f>'Месяцы_товары'!G27/10^9</x:f>
        <x:v>2.171975497927</x:v>
      </x:c>
      <x:c r="C27" s="19" t="n">
        <x:f>'Месяцы_товары'!G123/10^9</x:f>
        <x:v>10.961231454</x:v>
      </x:c>
      <x:c r="D27" s="19" t="n">
        <x:f>200*('Месяцы_товары'!G27-'Месяцы_товары'!G15)/('Месяцы_товары'!G27+'Месяцы_товары'!G15)</x:f>
        <x:v>-4.5537328808770665</x:v>
      </x:c>
      <x:c r="E27" s="19" t="n">
        <x:f>200*('Месяцы_товары'!G123-'Месяцы_товары'!G111)/('Месяцы_товары'!G123+'Месяцы_товары'!G111)</x:f>
        <x:v>26.350341710809047</x:v>
      </x:c>
    </x:row>
    <x:row r="28" ht="22" customHeight="1">
      <x:c r="A28" s="20" t="d">
        <x:v>2018-10-01T00:00:00.000Z</x:v>
      </x:c>
      <x:c r="B28" s="19" t="n">
        <x:f>'Месяцы_товары'!G28/10^9</x:f>
        <x:v>2.412173649256</x:v>
      </x:c>
      <x:c r="C28" s="19" t="n">
        <x:f>'Месяцы_товары'!G124/10^9</x:f>
        <x:v>10.006793155</x:v>
      </x:c>
      <x:c r="D28" s="19" t="n">
        <x:f>200*('Месяцы_товары'!G28-'Месяцы_товары'!G16)/('Месяцы_товары'!G28+'Месяцы_товары'!G16)</x:f>
        <x:v>11.752897681871264</x:v>
      </x:c>
      <x:c r="E28" s="19" t="n">
        <x:f>200*('Месяцы_товары'!G124-'Месяцы_товары'!G112)/('Месяцы_товары'!G124+'Месяцы_товары'!G112)</x:f>
        <x:v>17.12328464675988</x:v>
      </x:c>
    </x:row>
    <x:row r="29" ht="22" customHeight="1">
      <x:c r="A29" s="20" t="d">
        <x:v>2018-11-01T00:00:00.000Z</x:v>
      </x:c>
      <x:c r="B29" s="19" t="n">
        <x:f>'Месяцы_товары'!G29/10^9</x:f>
        <x:v>2.2595709450749997</x:v>
      </x:c>
      <x:c r="C29" s="19" t="n">
        <x:f>'Месяцы_товары'!G125/10^9</x:f>
        <x:v>8.766850093</x:v>
      </x:c>
      <x:c r="D29" s="19" t="n">
        <x:f>200*('Месяцы_товары'!G29-'Месяцы_товары'!G17)/('Месяцы_товары'!G29+'Месяцы_товары'!G17)</x:f>
        <x:v>0.820424219979594</x:v>
      </x:c>
      <x:c r="E29" s="19" t="n">
        <x:f>200*('Месяцы_товары'!G125-'Месяцы_товары'!G113)/('Месяцы_товары'!G125+'Месяцы_товары'!G113)</x:f>
        <x:v>3.0486381743512188</x:v>
      </x:c>
    </x:row>
    <x:row r="30" ht="22" customHeight="1">
      <x:c r="A30" s="20" t="d">
        <x:v>2018-12-01T00:00:00.000Z</x:v>
      </x:c>
      <x:c r="B30" s="19" t="n">
        <x:f>'Месяцы_товары'!G30/10^9</x:f>
        <x:v>2.1114533026989997</x:v>
      </x:c>
      <x:c r="C30" s="19" t="n">
        <x:f>'Месяцы_товары'!G126/10^9</x:f>
        <x:v>6.972310035</x:v>
      </x:c>
      <x:c r="D30" s="19" t="n">
        <x:f>200*('Месяцы_товары'!G30-'Месяцы_товары'!G18)/('Месяцы_товары'!G30+'Месяцы_товары'!G18)</x:f>
        <x:v>-9.977867948699537</x:v>
      </x:c>
      <x:c r="E30" s="19" t="n">
        <x:f>200*('Месяцы_товары'!G126-'Месяцы_товары'!G114)/('Месяцы_товары'!G126+'Месяцы_товары'!G114)</x:f>
        <x:v>-20.647144927490594</x:v>
      </x:c>
    </x:row>
    <x:row r="31" ht="22" customHeight="1">
      <x:c r="A31" s="20" t="d">
        <x:v>2019-01-01T00:00:00.000Z</x:v>
      </x:c>
      <x:c r="B31" s="19" t="n">
        <x:f>'Месяцы_товары'!G31/10^9</x:f>
        <x:v>1.923145972421</x:v>
      </x:c>
      <x:c r="C31" s="19" t="n">
        <x:f>'Месяцы_товары'!G127/10^9</x:f>
        <x:v>6.156448491</x:v>
      </x:c>
      <x:c r="D31" s="19" t="n">
        <x:f>200*('Месяцы_товары'!G31-'Месяцы_товары'!G19)/('Месяцы_товары'!G31+'Месяцы_товары'!G19)</x:f>
        <x:v>-3.4253177073401586</x:v>
      </x:c>
      <x:c r="E31" s="19" t="n">
        <x:f>200*('Месяцы_товары'!G127-'Месяцы_товары'!G115)/('Месяцы_товары'!G127+'Месяцы_товары'!G115)</x:f>
        <x:v>-32.2454606651119</x:v>
      </x:c>
    </x:row>
    <x:row r="32" ht="22" customHeight="1">
      <x:c r="A32" s="20" t="d">
        <x:v>2019-02-01T00:00:00.000Z</x:v>
      </x:c>
      <x:c r="B32" s="19" t="n">
        <x:f>'Месяцы_товары'!G32/10^9</x:f>
        <x:v>1.662715213555</x:v>
      </x:c>
      <x:c r="C32" s="19" t="n">
        <x:f>'Месяцы_товары'!G128/10^9</x:f>
        <x:v>5.677438209</x:v>
      </x:c>
      <x:c r="D32" s="19" t="n">
        <x:f>200*('Месяцы_товары'!G32-'Месяцы_товары'!G20)/('Месяцы_товары'!G32+'Месяцы_товары'!G20)</x:f>
        <x:v>-13.861722629583605</x:v>
      </x:c>
      <x:c r="E32" s="19" t="n">
        <x:f>200*('Месяцы_товары'!G128-'Месяцы_товары'!G116)/('Месяцы_товары'!G128+'Месяцы_товары'!G116)</x:f>
        <x:v>-33.398124383051126</x:v>
      </x:c>
    </x:row>
    <x:row r="33" ht="22" customHeight="1">
      <x:c r="A33" s="20" t="d">
        <x:v>2019-03-01T00:00:00.000Z</x:v>
      </x:c>
      <x:c r="B33" s="19" t="n">
        <x:f>'Месяцы_товары'!G33/10^9</x:f>
        <x:v>1.983787271413</x:v>
      </x:c>
      <x:c r="C33" s="19" t="n">
        <x:f>'Месяцы_товары'!G129/10^9</x:f>
        <x:v>7.46228474</x:v>
      </x:c>
      <x:c r="D33" s="19" t="n">
        <x:f>200*('Месяцы_товары'!G33-'Месяцы_товары'!G21)/('Месяцы_товары'!G33+'Месяцы_товары'!G21)</x:f>
        <x:v>-11.611137710900739</x:v>
      </x:c>
      <x:c r="E33" s="19" t="n">
        <x:f>200*('Месяцы_товары'!G129-'Месяцы_товары'!G117)/('Месяцы_товары'!G129+'Месяцы_товары'!G117)</x:f>
        <x:v>-25.38832443258229</x:v>
      </x:c>
    </x:row>
    <x:row r="34" ht="22" customHeight="1">
      <x:c r="A34" s="20" t="d">
        <x:v>2019-04-01T00:00:00.000Z</x:v>
      </x:c>
      <x:c r="B34" s="19" t="n">
        <x:f>'Месяцы_товары'!G34/10^9</x:f>
        <x:v>1.972930752559</x:v>
      </x:c>
      <x:c r="C34" s="19" t="n">
        <x:f>'Месяцы_товары'!G130/10^9</x:f>
        <x:v>7.103985905</x:v>
      </x:c>
      <x:c r="D34" s="19" t="n">
        <x:f>200*('Месяцы_товары'!G34-'Месяцы_товары'!G22)/('Месяцы_товары'!G34+'Месяцы_товары'!G22)</x:f>
        <x:v>-11.614271301693599</x:v>
      </x:c>
      <x:c r="E34" s="19" t="n">
        <x:f>200*('Месяцы_товары'!G130-'Месяцы_товары'!G118)/('Месяцы_товары'!G130+'Месяцы_товары'!G118)</x:f>
        <x:v>-18.431621799351554</x:v>
      </x:c>
    </x:row>
    <x:row r="35" ht="22" customHeight="1">
      <x:c r="A35" s="20" t="d">
        <x:v>2019-05-01T00:00:00.000Z</x:v>
      </x:c>
      <x:c r="B35" s="19" t="n">
        <x:f>'Месяцы_товары'!G35/10^9</x:f>
        <x:v>2.0535453992590003</x:v>
      </x:c>
      <x:c r="C35" s="19" t="n">
        <x:f>'Месяцы_товары'!G131/10^9</x:f>
        <x:v>6.216658739</x:v>
      </x:c>
      <x:c r="D35" s="19" t="n">
        <x:f>200*('Месяцы_товары'!G35-'Месяцы_товары'!G23)/('Месяцы_товары'!G35+'Месяцы_товары'!G23)</x:f>
        <x:v>0.37384673735368373</x:v>
      </x:c>
      <x:c r="E35" s="19" t="n">
        <x:f>200*('Месяцы_товары'!G131-'Месяцы_товары'!G119)/('Месяцы_товары'!G131+'Месяцы_товары'!G119)</x:f>
        <x:v>-40.84444926869286</x:v>
      </x:c>
    </x:row>
    <x:row r="36" ht="22" customHeight="1">
      <x:c r="A36" s="20" t="d">
        <x:v>2019-06-01T00:00:00.000Z</x:v>
      </x:c>
      <x:c r="B36" s="19" t="n">
        <x:f>'Месяцы_товары'!G36/10^9</x:f>
        <x:v>2.131604221935</x:v>
      </x:c>
      <x:c r="C36" s="19" t="n">
        <x:f>'Месяцы_товары'!G132/10^9</x:f>
        <x:v>7.005149928</x:v>
      </x:c>
      <x:c r="D36" s="19" t="n">
        <x:f>200*('Месяцы_товары'!G36-'Месяцы_товары'!G24)/('Месяцы_товары'!G36+'Месяцы_товары'!G24)</x:f>
        <x:v>-6.507440055096706</x:v>
      </x:c>
      <x:c r="E36" s="19" t="n">
        <x:f>200*('Месяцы_товары'!G132-'Месяцы_товары'!G120)/('Месяцы_товары'!G132+'Месяцы_товары'!G120)</x:f>
        <x:v>-31.459070237363296</x:v>
      </x:c>
    </x:row>
    <x:row r="37" ht="22" customHeight="1">
      <x:c r="A37" s="20" t="d">
        <x:v>2019-07-01T00:00:00.000Z</x:v>
      </x:c>
      <x:c r="B37" s="19" t="n">
        <x:f>'Месяцы_товары'!G37/10^9</x:f>
        <x:v>2.210912049218</x:v>
      </x:c>
      <x:c r="C37" s="19" t="n">
        <x:f>'Месяцы_товары'!G133/10^9</x:f>
        <x:v>6.375278146</x:v>
      </x:c>
      <x:c r="D37" s="19" t="n">
        <x:f>200*('Месяцы_товары'!G37-'Месяцы_товары'!G25)/('Месяцы_товары'!G37+'Месяцы_товары'!G25)</x:f>
        <x:v>-4.519664226837242</x:v>
      </x:c>
      <x:c r="E37" s="19" t="n">
        <x:f>200*('Месяцы_товары'!G133-'Месяцы_товары'!G121)/('Месяцы_товары'!G133+'Месяцы_товары'!G121)</x:f>
        <x:v>-34.41997818571247</x:v>
      </x:c>
    </x:row>
    <x:row r="38" ht="22" customHeight="1">
      <x:c r="A38" s="20" t="d">
        <x:v>2019-08-01T00:00:00.000Z</x:v>
      </x:c>
      <x:c r="B38" s="19" t="n">
        <x:f>'Месяцы_товары'!G38/10^9</x:f>
        <x:v>2.446386633713</x:v>
      </x:c>
      <x:c r="C38" s="19" t="n">
        <x:f>'Месяцы_товары'!G134/10^9</x:f>
        <x:v>6.771830972</x:v>
      </x:c>
      <x:c r="D38" s="19" t="n">
        <x:f>200*('Месяцы_товары'!G38-'Месяцы_товары'!G26)/('Месяцы_товары'!G38+'Месяцы_товары'!G26)</x:f>
        <x:v>3.8686159640405435</x:v>
      </x:c>
      <x:c r="E38" s="19" t="n">
        <x:f>200*('Месяцы_товары'!G134-'Месяцы_товары'!G122)/('Месяцы_товары'!G134+'Месяцы_товары'!G122)</x:f>
        <x:v>-39.18754749836309</x:v>
      </x:c>
    </x:row>
    <x:row r="39" ht="22" customHeight="1">
      <x:c r="A39" s="20" t="d">
        <x:v>2019-09-01T00:00:00.000Z</x:v>
      </x:c>
      <x:c r="B39" s="19" t="n">
        <x:f>'Месяцы_товары'!G39/10^9</x:f>
        <x:v>2.46902405417</x:v>
      </x:c>
      <x:c r="C39" s="19" t="n">
        <x:f>'Месяцы_товары'!G135/10^9</x:f>
        <x:v>7.165646611</x:v>
      </x:c>
      <x:c r="D39" s="19" t="n">
        <x:f>200*('Месяцы_товары'!G39-'Месяцы_товары'!G27)/('Месяцы_товары'!G39+'Месяцы_товары'!G27)</x:f>
        <x:v>12.801059466113541</x:v>
      </x:c>
      <x:c r="E39" s="19" t="n">
        <x:f>200*('Месяцы_товары'!G135-'Месяцы_товары'!G123)/('Месяцы_товары'!G135+'Месяцы_товары'!G123)</x:f>
        <x:v>-41.87797622281849</x:v>
      </x:c>
    </x:row>
    <x:row r="40" ht="22" customHeight="1">
      <x:c r="A40" s="20" t="d">
        <x:v>2019-10-01T00:00:00.000Z</x:v>
      </x:c>
      <x:c r="B40" s="19" t="n">
        <x:f>'Месяцы_товары'!G40/10^9</x:f>
        <x:v>2.606451896517</x:v>
      </x:c>
      <x:c r="C40" s="19" t="n">
        <x:f>'Месяцы_товары'!G136/10^9</x:f>
        <x:v>6.644719718</x:v>
      </x:c>
      <x:c r="D40" s="19" t="n">
        <x:f>200*('Месяцы_товары'!G40-'Месяцы_товары'!G28)/('Месяцы_товары'!G40+'Месяцы_товары'!G28)</x:f>
        <x:v>7.742289018738742</x:v>
      </x:c>
      <x:c r="E40" s="19" t="n">
        <x:f>200*('Месяцы_товары'!G136-'Месяцы_товары'!G124)/('Месяцы_товары'!G136+'Месяцы_товары'!G124)</x:f>
        <x:v>-40.3815973076118</x:v>
      </x:c>
    </x:row>
    <x:row r="41" ht="22" customHeight="1">
      <x:c r="A41" s="20" t="d">
        <x:v>2019-11-01T00:00:00.000Z</x:v>
      </x:c>
      <x:c r="B41" s="19" t="n">
        <x:f>'Месяцы_товары'!G41/10^9</x:f>
        <x:v>2.324450190663</x:v>
      </x:c>
      <x:c r="C41" s="19" t="n">
        <x:f>'Месяцы_товары'!G137/10^9</x:f>
        <x:v>6.185496574</x:v>
      </x:c>
      <x:c r="D41" s="19" t="n">
        <x:f>200*('Месяцы_товары'!G41-'Месяцы_товары'!G29)/('Месяцы_товары'!G41+'Месяцы_товары'!G29)</x:f>
        <x:v>2.8306695657307492</x:v>
      </x:c>
      <x:c r="E41" s="19" t="n">
        <x:f>200*('Месяцы_товары'!G137-'Месяцы_товары'!G125)/('Месяцы_товары'!G137+'Месяцы_товары'!G125)</x:f>
        <x:v>-34.52773770550782</x:v>
      </x:c>
    </x:row>
    <x:row r="42" ht="22" customHeight="1">
      <x:c r="A42" s="20" t="d">
        <x:v>2019-12-01T00:00:00.000Z</x:v>
      </x:c>
      <x:c r="B42" s="19" t="n">
        <x:f>'Месяцы_товары'!G42/10^9</x:f>
        <x:v>2.2618861352560002</x:v>
      </x:c>
      <x:c r="C42" s="19" t="n">
        <x:f>'Месяцы_товары'!G138/10^9</x:f>
        <x:v>6.057401152</x:v>
      </x:c>
      <x:c r="D42" s="19" t="n">
        <x:f>200*('Месяцы_товары'!G42-'Месяцы_товары'!G30)/('Месяцы_товары'!G42+'Месяцы_товары'!G30)</x:f>
        <x:v>6.879540666404045</x:v>
      </x:c>
      <x:c r="E42" s="19" t="n">
        <x:f>200*('Месяцы_товары'!G138-'Месяцы_товары'!G126)/('Месяцы_товары'!G138+'Месяцы_товары'!G126)</x:f>
        <x:v>-14.043425366370709</x:v>
      </x:c>
    </x:row>
    <x:row r="43" ht="22" customHeight="1">
      <x:c r="A43" s="20" t="d">
        <x:v>2020-01-01T00:00:00.000Z</x:v>
      </x:c>
      <x:c r="B43" s="19" t="n">
        <x:f>'Месяцы_товары'!G43/10^9</x:f>
        <x:v>1.9989099584709997</x:v>
      </x:c>
      <x:c r="C43" s="19" t="n">
        <x:f>'Месяцы_товары'!G139/10^9</x:f>
        <x:v>6.093442243</x:v>
      </x:c>
      <x:c r="D43" s="19" t="n">
        <x:f>200*('Месяцы_товары'!G43-'Месяцы_товары'!G31)/('Месяцы_товары'!G43+'Месяцы_товары'!G31)</x:f>
        <x:v>3.8634832029419113</x:v>
      </x:c>
      <x:c r="E43" s="19" t="n">
        <x:f>200*('Месяцы_товары'!G139-'Месяцы_товары'!G127)/('Месяцы_товары'!G139+'Месяцы_товары'!G127)</x:f>
        <x:v>-1.0286826122476989</x:v>
      </x:c>
    </x:row>
    <x:row r="44" ht="22" customHeight="1">
      <x:c r="A44" s="20" t="d">
        <x:v>2020-02-01T00:00:00.000Z</x:v>
      </x:c>
      <x:c r="B44" s="19" t="n">
        <x:f>'Месяцы_товары'!G44/10^9</x:f>
        <x:v>2.024992524642</x:v>
      </x:c>
      <x:c r="C44" s="19" t="n">
        <x:f>'Месяцы_товары'!G140/10^9</x:f>
        <x:v>6.243957355</x:v>
      </x:c>
      <x:c r="D44" s="19" t="n">
        <x:f>200*('Месяцы_товары'!G44-'Месяцы_товары'!G32)/('Месяцы_товары'!G44+'Месяцы_товары'!G32)</x:f>
        <x:v>19.647832030426862</x:v>
      </x:c>
      <x:c r="E44" s="19" t="n">
        <x:f>200*('Месяцы_товары'!G140-'Месяцы_товары'!G128)/('Месяцы_товары'!G140+'Месяцы_товары'!G128)</x:f>
        <x:v>9.504242065597817</x:v>
      </x:c>
    </x:row>
    <x:row r="45" ht="22" customHeight="1">
      <x:c r="A45" s="20" t="d">
        <x:v>2020-03-01T00:00:00.000Z</x:v>
      </x:c>
      <x:c r="B45" s="19" t="n">
        <x:f>'Месяцы_товары'!G45/10^9</x:f>
        <x:v>2.180072023363</x:v>
      </x:c>
      <x:c r="C45" s="19" t="n">
        <x:f>'Месяцы_товары'!G141/10^9</x:f>
        <x:v>7.198918921</x:v>
      </x:c>
      <x:c r="D45" s="19" t="n">
        <x:f>200*('Месяцы_товары'!G45-'Месяцы_товары'!G33)/('Месяцы_товары'!G45+'Месяцы_товары'!G33)</x:f>
        <x:v>9.428020403871942</x:v>
      </x:c>
      <x:c r="E45" s="19" t="n">
        <x:f>200*('Месяцы_товары'!G141-'Месяцы_товары'!G129)/('Месяцы_товары'!G141+'Месяцы_товары'!G129)</x:f>
        <x:v>-3.592690274135876</x:v>
      </x:c>
    </x:row>
    <x:row r="46" ht="22" customHeight="1">
      <x:c r="A46" s="20" t="d">
        <x:v>2020-04-01T00:00:00.000Z</x:v>
      </x:c>
      <x:c r="B46" s="19" t="n">
        <x:f>'Месяцы_товары'!G46/10^9</x:f>
        <x:v>2.12803871834</x:v>
      </x:c>
      <x:c r="C46" s="19" t="n">
        <x:f>'Месяцы_товары'!G142/10^9</x:f>
        <x:v>5.711638174</x:v>
      </x:c>
      <x:c r="D46" s="19" t="n">
        <x:f>200*('Месяцы_товары'!G46-'Месяцы_товары'!G34)/('Месяцы_товары'!G46+'Месяцы_товары'!G34)</x:f>
        <x:v>7.564453570389428</x:v>
      </x:c>
      <x:c r="E46" s="19" t="n">
        <x:f>200*('Месяцы_товары'!G142-'Месяцы_товары'!G130)/('Месяцы_товары'!G142+'Месяцы_товары'!G130)</x:f>
        <x:v>-21.728910311617764</x:v>
      </x:c>
    </x:row>
    <x:row r="47" ht="22" customHeight="1">
      <x:c r="A47" s="20" t="d">
        <x:v>2020-05-01T00:00:00.000Z</x:v>
      </x:c>
      <x:c r="B47" s="19" t="n">
        <x:f>'Месяцы_товары'!G47/10^9</x:f>
        <x:v>1.967678585247</x:v>
      </x:c>
      <x:c r="C47" s="19" t="n">
        <x:f>'Месяцы_товары'!G143/10^9</x:f>
        <x:v>6.612745859</x:v>
      </x:c>
      <x:c r="D47" s="19" t="n">
        <x:f>200*('Месяцы_товары'!G47-'Месяцы_товары'!G35)/('Месяцы_товары'!G47+'Месяцы_товары'!G35)</x:f>
        <x:v>-4.270680486481227</x:v>
      </x:c>
      <x:c r="E47" s="19" t="n">
        <x:f>200*('Месяцы_товары'!G143-'Месяцы_товары'!G131)/('Месяцы_товары'!G143+'Месяцы_товары'!G131)</x:f>
        <x:v>6.1746765716898</x:v>
      </x:c>
    </x:row>
    <x:row r="48" ht="22" customHeight="1">
      <x:c r="A48" s="20" t="d">
        <x:v>2020-06-01T00:00:00.000Z</x:v>
      </x:c>
      <x:c r="B48" s="19" t="n">
        <x:f>'Месяцы_товары'!G48/10^9</x:f>
        <x:v>1.964517870941</x:v>
      </x:c>
      <x:c r="C48" s="19" t="n">
        <x:f>'Месяцы_товары'!G144/10^9</x:f>
        <x:v>6.700886945</x:v>
      </x:c>
      <x:c r="D48" s="19" t="n">
        <x:f>200*('Месяцы_товары'!G48-'Месяцы_товары'!G36)/('Месяцы_товары'!G48+'Месяцы_товары'!G36)</x:f>
        <x:v>-8.158270051793503</x:v>
      </x:c>
      <x:c r="E48" s="19" t="n">
        <x:f>200*('Месяцы_товары'!G144-'Месяцы_товары'!G132)/('Месяцы_товары'!G144+'Месяцы_товары'!G132)</x:f>
        <x:v>-4.439838967592131</x:v>
      </x:c>
    </x:row>
    <x:row r="49" ht="22" customHeight="1">
      <x:c r="A49" s="20" t="d">
        <x:v>2020-07-01T00:00:00.000Z</x:v>
      </x:c>
      <x:c r="B49" s="19" t="n">
        <x:f>'Месяцы_товары'!G49/10^9</x:f>
        <x:v>2.186326197288</x:v>
      </x:c>
      <x:c r="C49" s="19" t="n">
        <x:f>'Месяцы_товары'!G145/10^9</x:f>
        <x:v>6.614421065</x:v>
      </x:c>
      <x:c r="D49" s="19" t="n">
        <x:f>200*('Месяцы_товары'!G49-'Месяцы_товары'!G37)/('Месяцы_товары'!G49+'Месяцы_товары'!G37)</x:f>
        <x:v>-1.1182406115718424</x:v>
      </x:c>
      <x:c r="E49" s="19" t="n">
        <x:f>200*('Месяцы_товары'!G145-'Месяцы_товары'!G133)/('Месяцы_товары'!G145+'Месяцы_товары'!G133)</x:f>
        <x:v>3.682039362350867</x:v>
      </x:c>
    </x:row>
    <x:row r="50" ht="22" customHeight="1">
      <x:c r="A50" s="20" t="d">
        <x:v>2020-08-01T00:00:00.000Z</x:v>
      </x:c>
      <x:c r="B50" s="19" t="n">
        <x:f>'Месяцы_товары'!G50/10^9</x:f>
        <x:v>2.383391936041</x:v>
      </x:c>
      <x:c r="C50" s="19" t="n">
        <x:f>'Месяцы_товары'!G146/10^9</x:f>
        <x:v>7.011403895</x:v>
      </x:c>
      <x:c r="D50" s="19" t="n">
        <x:f>200*('Месяцы_товары'!G50-'Месяцы_товары'!G38)/('Месяцы_товары'!G50+'Месяцы_товары'!G38)</x:f>
        <x:v>-2.60859568455158</x:v>
      </x:c>
      <x:c r="E50" s="19" t="n">
        <x:f>200*('Месяцы_товары'!G146-'Месяцы_товары'!G134)/('Месяцы_товары'!G146+'Месяцы_товары'!G134)</x:f>
        <x:v>3.4762945754278425</x:v>
      </x:c>
    </x:row>
    <x:row r="51" ht="22" customHeight="1">
      <x:c r="A51" s="20" t="d">
        <x:v>2020-09-01T00:00:00.000Z</x:v>
      </x:c>
      <x:c r="B51" s="19" t="n">
        <x:f>'Месяцы_товары'!G51/10^9</x:f>
        <x:v>2.5284582918889997</x:v>
      </x:c>
      <x:c r="C51" s="19" t="n">
        <x:f>'Месяцы_товары'!G147/10^9</x:f>
        <x:v>7.821732201</x:v>
      </x:c>
      <x:c r="D51" s="19" t="n">
        <x:f>200*('Месяцы_товары'!G51-'Месяцы_товары'!G39)/('Месяцы_товары'!G51+'Месяцы_товары'!G39)</x:f>
        <x:v>2.37856719057225</x:v>
      </x:c>
      <x:c r="E51" s="19" t="n">
        <x:f>200*('Месяцы_товары'!G147-'Месяцы_товары'!G135)/('Месяцы_товары'!G147+'Месяцы_товары'!G135)</x:f>
        <x:v>8.755174580290044</x:v>
      </x:c>
    </x:row>
    <x:row r="52" ht="22" customHeight="1">
      <x:c r="A52" s="20" t="d">
        <x:v>2020-10-01T00:00:00.000Z</x:v>
      </x:c>
      <x:c r="B52" s="19" t="n">
        <x:f>'Месяцы_товары'!G52/10^9</x:f>
        <x:v>2.468129616755</x:v>
      </x:c>
      <x:c r="C52" s="19" t="n">
        <x:f>'Месяцы_товары'!G148/10^9</x:f>
        <x:v>7.428046885</x:v>
      </x:c>
      <x:c r="D52" s="19" t="n">
        <x:f>200*('Месяцы_товары'!G52-'Месяцы_товары'!G40)/('Месяцы_товары'!G52+'Месяцы_товары'!G40)</x:f>
        <x:v>-5.451573864770273</x:v>
      </x:c>
      <x:c r="E52" s="19" t="n">
        <x:f>200*('Месяцы_товары'!G148-'Месяцы_товары'!G136)/('Месяцы_товары'!G148+'Месяцы_товары'!G136)</x:f>
        <x:v>11.132525523915278</x:v>
      </x:c>
    </x:row>
    <x:row r="53" ht="22" customHeight="1">
      <x:c r="A53" s="20" t="d">
        <x:v>2020-11-01T00:00:00.000Z</x:v>
      </x:c>
      <x:c r="B53" s="19" t="n">
        <x:f>'Месяцы_товары'!G53/10^9</x:f>
        <x:v>2.267295785541</x:v>
      </x:c>
      <x:c r="C53" s="19" t="n">
        <x:f>'Месяцы_товары'!G149/10^9</x:f>
        <x:v>7.337722781</x:v>
      </x:c>
      <x:c r="D53" s="19" t="n">
        <x:f>200*('Месяцы_товары'!G53-'Месяцы_товары'!G41)/('Месяцы_товары'!G53+'Месяцы_товары'!G41)</x:f>
        <x:v>-2.489441071792469</x:v>
      </x:c>
      <x:c r="E53" s="19" t="n">
        <x:f>200*('Месяцы_товары'!G149-'Месяцы_товары'!G137)/('Месяцы_товары'!G149+'Месяцы_товары'!G137)</x:f>
        <x:v>17.04070867672471</x:v>
      </x:c>
    </x:row>
    <x:row r="54" ht="22" customHeight="1">
      <x:c r="A54" s="20" t="d">
        <x:v>2020-12-01T00:00:00.000Z</x:v>
      </x:c>
      <x:c r="B54" s="19" t="n">
        <x:f>'Месяцы_товары'!G54/10^9</x:f>
        <x:v>2.40961887271</x:v>
      </x:c>
      <x:c r="C54" s="19" t="n">
        <x:f>'Месяцы_товары'!G150/10^9</x:f>
        <x:v>7.828616439</x:v>
      </x:c>
      <x:c r="D54" s="19" t="n">
        <x:f>200*('Месяцы_товары'!G54-'Месяцы_товары'!G42)/('Месяцы_товары'!G54+'Месяцы_товары'!G42)</x:f>
        <x:v>6.324845513472914</x:v>
      </x:c>
      <x:c r="E54" s="19" t="n">
        <x:f>200*('Месяцы_товары'!G150-'Месяцы_товары'!G138)/('Месяцы_товары'!G150+'Месяцы_товары'!G138)</x:f>
        <x:v>25.51077406308321</x:v>
      </x:c>
    </x:row>
    <x:row r="55" ht="22" customHeight="1">
      <x:c r="A55" s="20" t="d">
        <x:v>2021-01-01T00:00:00.000Z</x:v>
      </x:c>
      <x:c r="B55" s="19" t="n">
        <x:f>'Месяцы_товары'!G55/10^9</x:f>
        <x:v>2.352416196783</x:v>
      </x:c>
      <x:c r="C55" s="19" t="n">
        <x:f>'Месяцы_товары'!G151/10^9</x:f>
        <x:v>7.337449591</x:v>
      </x:c>
      <x:c r="D55" s="19" t="n">
        <x:f>200*('Месяцы_товары'!G55-'Месяцы_товары'!G43)/('Месяцы_товары'!G55+'Месяцы_товары'!G43)</x:f>
        <x:v>16.248206900563403</x:v>
      </x:c>
      <x:c r="E55" s="19" t="n">
        <x:f>200*('Месяцы_товары'!G151-'Месяцы_товары'!G139)/('Месяцы_товары'!G151+'Месяцы_товары'!G139)</x:f>
        <x:v>18.524568038748157</x:v>
      </x:c>
    </x:row>
    <x:row r="56" ht="22" customHeight="1">
      <x:c r="A56" s="20" t="d">
        <x:v>2021-02-01T00:00:00.000Z</x:v>
      </x:c>
      <x:c r="B56" s="19" t="n">
        <x:f>'Месяцы_товары'!G56/10^9</x:f>
        <x:v>2.150370229376</x:v>
      </x:c>
      <x:c r="C56" s="19" t="n">
        <x:f>'Месяцы_товары'!G152/10^9</x:f>
        <x:v>7.169711944</x:v>
      </x:c>
      <x:c r="D56" s="19" t="n">
        <x:f>200*('Месяцы_товары'!G56-'Месяцы_товары'!G44)/('Месяцы_товары'!G56+'Месяцы_товары'!G44)</x:f>
        <x:v>6.005595782706416</x:v>
      </x:c>
      <x:c r="E56" s="19" t="n">
        <x:f>200*('Месяцы_товары'!G152-'Месяцы_товары'!G140)/('Месяцы_товары'!G152+'Месяцы_товары'!G140)</x:f>
        <x:v>13.803152118399337</x:v>
      </x:c>
    </x:row>
    <x:row r="57" ht="22" customHeight="1">
      <x:c r="A57" s="20" t="d">
        <x:v>2021-03-01T00:00:00.000Z</x:v>
      </x:c>
      <x:c r="B57" s="19" t="n">
        <x:f>'Месяцы_товары'!G57/10^9</x:f>
        <x:v>2.372271787227</x:v>
      </x:c>
      <x:c r="C57" s="19" t="n">
        <x:f>'Месяцы_товары'!G153/10^9</x:f>
        <x:v>8.110257942</x:v>
      </x:c>
      <x:c r="D57" s="19" t="n">
        <x:f>200*('Месяцы_товары'!G57-'Месяцы_товары'!G45)/('Месяцы_товары'!G57+'Месяцы_товары'!G45)</x:f>
        <x:v>8.443991572731873</x:v>
      </x:c>
      <x:c r="E57" s="19" t="n">
        <x:f>200*('Месяцы_товары'!G153-'Месяцы_товары'!G141)/('Месяцы_товары'!G153+'Месяцы_товары'!G141)</x:f>
        <x:v>11.9057873477518</x:v>
      </x:c>
    </x:row>
    <x:row r="58" ht="22" customHeight="1">
      <x:c r="A58" s="20" t="d">
        <x:v>2021-04-01T00:00:00.000Z</x:v>
      </x:c>
      <x:c r="B58" s="19" t="n">
        <x:f>'Месяцы_товары'!G58/10^9</x:f>
        <x:v>2.389000112422</x:v>
      </x:c>
      <x:c r="C58" s="19" t="n">
        <x:f>'Месяцы_товары'!G154/10^9</x:f>
        <x:v>7.851937276</x:v>
      </x:c>
      <x:c r="D58" s="19" t="n">
        <x:f>200*('Месяцы_товары'!G58-'Месяцы_товары'!G46)/('Месяцы_товары'!G58+'Месяцы_товары'!G46)</x:f>
        <x:v>11.554534014841632</x:v>
      </x:c>
      <x:c r="E58" s="19" t="n">
        <x:f>200*('Месяцы_товары'!G154-'Месяцы_товары'!G142)/('Месяцы_товары'!G154+'Месяцы_товары'!G142)</x:f>
        <x:v>31.559511868974045</x:v>
      </x:c>
    </x:row>
    <x:row r="59" ht="22" customHeight="1">
      <x:c r="A59" s="20" t="d">
        <x:v>2021-05-01T00:00:00.000Z</x:v>
      </x:c>
      <x:c r="B59" s="19" t="n">
        <x:f>'Месяцы_товары'!G59/10^9</x:f>
        <x:v>2.247187843547</x:v>
      </x:c>
      <x:c r="C59" s="19" t="n">
        <x:f>'Месяцы_товары'!G155/10^9</x:f>
        <x:v>8.630960165</x:v>
      </x:c>
      <x:c r="D59" s="19" t="n">
        <x:f>200*('Месяцы_товары'!G59-'Месяцы_товары'!G47)/('Месяцы_товары'!G59+'Месяцы_товары'!G47)</x:f>
        <x:v>13.263018556911945</x:v>
      </x:c>
      <x:c r="E59" s="19" t="n">
        <x:f>200*('Месяцы_товары'!G155-'Месяцы_товары'!G143)/('Месяцы_товары'!G155+'Месяцы_товары'!G143)</x:f>
        <x:v>26.479312876048414</x:v>
      </x:c>
    </x:row>
    <x:row r="60" ht="22" customHeight="1">
      <x:c r="A60" s="20" t="d">
        <x:v>2021-06-01T00:00:00.000Z</x:v>
      </x:c>
      <x:c r="B60" s="19" t="n">
        <x:f>'Месяцы_товары'!G60/10^9</x:f>
        <x:v>2.3432422003699998</x:v>
      </x:c>
      <x:c r="C60" s="19" t="n">
        <x:f>'Месяцы_товары'!G156/10^9</x:f>
        <x:v>9.478226442</x:v>
      </x:c>
      <x:c r="D60" s="19" t="n">
        <x:f>200*('Месяцы_товары'!G60-'Месяцы_товары'!G48)/('Месяцы_товары'!G60+'Месяцы_товары'!G48)</x:f>
        <x:v>17.58335297971881</x:v>
      </x:c>
      <x:c r="E60" s="19" t="n">
        <x:f>200*('Месяцы_товары'!G156-'Месяцы_товары'!G144)/('Месяцы_товары'!G156+'Месяцы_товары'!G144)</x:f>
        <x:v>34.332406610508166</x:v>
      </x:c>
    </x:row>
    <x:row r="61" ht="22" customHeight="1">
      <x:c r="A61" s="20" t="d">
        <x:v>2021-07-01T00:00:00.000Z</x:v>
      </x:c>
      <x:c r="B61" s="19" t="n">
        <x:f>'Месяцы_товары'!G61/10^9</x:f>
        <x:v>2.6344673232790004</x:v>
      </x:c>
      <x:c r="C61" s="19" t="n">
        <x:f>'Месяцы_товары'!G157/10^9</x:f>
        <x:v>9.236714342</x:v>
      </x:c>
      <x:c r="D61" s="19" t="n">
        <x:f>200*('Месяцы_товары'!G61-'Месяцы_товары'!G49)/('Месяцы_товары'!G61+'Месяцы_товары'!G49)</x:f>
        <x:v>18.59200665114949</x:v>
      </x:c>
      <x:c r="E61" s="19" t="n">
        <x:f>200*('Месяцы_товары'!G157-'Месяцы_товары'!G145)/('Месяцы_товары'!G157+'Месяцы_товары'!G145)</x:f>
        <x:v>33.08650402219102</x:v>
      </x:c>
    </x:row>
    <x:row r="62" ht="22" customHeight="1">
      <x:c r="A62" s="20" t="d">
        <x:v>2021-08-01T00:00:00.000Z</x:v>
      </x:c>
      <x:c r="B62" s="19" t="n">
        <x:f>'Месяцы_товары'!G62/10^9</x:f>
        <x:v>2.592169098796</x:v>
      </x:c>
      <x:c r="C62" s="19" t="n">
        <x:f>'Месяцы_товары'!G158/10^9</x:f>
        <x:v>9.998166367</x:v>
      </x:c>
      <x:c r="D62" s="19" t="n">
        <x:f>200*('Месяцы_товары'!G62-'Месяцы_товары'!G50)/('Месяцы_товары'!G62+'Месяцы_товары'!G50)</x:f>
        <x:v>8.392105384426852</x:v>
      </x:c>
      <x:c r="E62" s="19" t="n">
        <x:f>200*('Месяцы_товары'!G158-'Месяцы_товары'!G146)/('Месяцы_товары'!G158+'Месяцы_товары'!G146)</x:f>
        <x:v>35.118611769664</x:v>
      </x:c>
    </x:row>
    <x:row r="63" ht="22" customHeight="1">
      <x:c r="A63" s="20" t="d">
        <x:v>2021-09-01T00:00:00.000Z</x:v>
      </x:c>
      <x:c r="B63" s="19" t="n">
        <x:f>'Месяцы_товары'!G63/10^9</x:f>
        <x:v>2.848830253246</x:v>
      </x:c>
      <x:c r="C63" s="19" t="n">
        <x:f>'Месяцы_товары'!G159/10^9</x:f>
        <x:v>10.493257619</x:v>
      </x:c>
      <x:c r="D63" s="19" t="n">
        <x:f>200*('Месяцы_товары'!G63-'Месяцы_товары'!G51)/('Месяцы_товары'!G63+'Месяцы_товары'!G51)</x:f>
        <x:v>11.915743730986904</x:v>
      </x:c>
      <x:c r="E63" s="19" t="n">
        <x:f>200*('Месяцы_товары'!G159-'Месяцы_товары'!G147)/('Месяцы_товары'!G159+'Месяцы_товары'!G147)</x:f>
        <x:v>29.17310295289042</x:v>
      </x:c>
    </x:row>
    <x:row r="64" ht="22" customHeight="1">
      <x:c r="A64" s="20" t="d">
        <x:v>2021-10-01T00:00:00.000Z</x:v>
      </x:c>
      <x:c r="B64" s="19" t="n">
        <x:f>'Месяцы_товары'!G64/10^9</x:f>
        <x:v>2.7883156696849998</x:v>
      </x:c>
      <x:c r="C64" s="19" t="n">
        <x:f>'Месяцы_товары'!G160/10^9</x:f>
        <x:v>9.581617341</x:v>
      </x:c>
      <x:c r="D64" s="19" t="n">
        <x:f>200*('Месяцы_товары'!G64-'Месяцы_товары'!G52)/('Месяцы_товары'!G64+'Месяцы_товары'!G52)</x:f>
        <x:v>12.182607655252518</x:v>
      </x:c>
      <x:c r="E64" s="19" t="n">
        <x:f>200*('Месяцы_товары'!G160-'Месяцы_товары'!G148)/('Месяцы_товары'!G160+'Месяцы_товары'!G148)</x:f>
        <x:v>25.321728017513426</x:v>
      </x:c>
    </x:row>
    <x:row r="65" ht="22" customHeight="1">
      <x:c r="A65" s="20" t="d">
        <x:v>2021-11-01T00:00:00.000Z</x:v>
      </x:c>
      <x:c r="B65" s="19" t="n">
        <x:f>'Месяцы_товары'!G65/10^9</x:f>
        <x:v>2.712846023872</x:v>
      </x:c>
      <x:c r="C65" s="19" t="n">
        <x:f>'Месяцы_товары'!G161/10^9</x:f>
        <x:v>10.293526906</x:v>
      </x:c>
      <x:c r="D65" s="19" t="n">
        <x:f>200*('Месяцы_товары'!G65-'Месяцы_товары'!G53)/('Месяцы_товары'!G65+'Месяцы_товары'!G53)</x:f>
        <x:v>17.893074349363395</x:v>
      </x:c>
      <x:c r="E65" s="19" t="n">
        <x:f>200*('Месяцы_товары'!G161-'Месяцы_товары'!G149)/('Месяцы_товары'!G161+'Месяцы_товары'!G149)</x:f>
        <x:v>33.52915054205596</x:v>
      </x:c>
    </x:row>
    <x:row r="66" ht="22" customHeight="1">
      <x:c r="A66" s="20" t="d">
        <x:v>2021-12-01T00:00:00.000Z</x:v>
      </x:c>
      <x:c r="B66" s="19" t="n">
        <x:f>'Месяцы_товары'!G66/10^9</x:f>
        <x:v>2.9943339359569996</x:v>
      </x:c>
      <x:c r="C66" s="19" t="n">
        <x:f>'Месяцы_товары'!G162/10^9</x:f>
        <x:v>10.713571145</x:v>
      </x:c>
      <x:c r="D66" s="19" t="n">
        <x:f>200*('Месяцы_товары'!G66-'Месяцы_товары'!G54)/('Месяцы_товары'!G66+'Месяцы_товары'!G54)</x:f>
        <x:v>21.64027273921484</x:v>
      </x:c>
      <x:c r="E66" s="19" t="n">
        <x:f>200*('Месяцы_товары'!G162-'Месяцы_товары'!G150)/('Месяцы_товары'!G162+'Месяцы_товары'!G150)</x:f>
        <x:v>31.117738324354125</x:v>
      </x:c>
    </x:row>
    <x:row r="67" ht="22" customHeight="1">
      <x:c r="A67" s="20" t="d">
        <x:v>2022-01-01T00:00:00.000Z</x:v>
      </x:c>
      <x:c r="B67" s="19" t="n">
        <x:f>'Месяцы_товары'!G67/10^9</x:f>
        <x:v>2.443362233722</x:v>
      </x:c>
      <x:c r="C67" s="19" t="n">
        <x:f>'Месяцы_товары'!G163/10^9</x:f>
        <x:v>9.402691953</x:v>
      </x:c>
      <x:c r="D67" s="19" t="n">
        <x:f>200*('Месяцы_товары'!G67-'Месяцы_товары'!G55)/('Месяцы_товары'!G67+'Месяцы_товары'!G55)</x:f>
        <x:v>3.7927539087506768</x:v>
      </x:c>
      <x:c r="E67" s="19" t="n">
        <x:f>200*('Месяцы_товары'!G163-'Месяцы_товары'!G151)/('Месяцы_товары'!G163+'Месяцы_товары'!G151)</x:f>
        <x:v>24.674132611981694</x:v>
      </x:c>
    </x:row>
    <x:row r="68" ht="22" customHeight="1">
      <x:c r="A68" s="20" t="d">
        <x:v>2022-02-01T00:00:00.000Z</x:v>
      </x:c>
      <x:c r="B68" s="19" t="n">
        <x:f>'Месяцы_товары'!G68/10^9</x:f>
        <x:v>2.426377279323</x:v>
      </x:c>
      <x:c r="C68" s="19" t="n">
        <x:f>'Месяцы_товары'!G164/10^9</x:f>
        <x:v>8.91950357</x:v>
      </x:c>
      <x:c r="D68" s="19" t="n">
        <x:f>200*('Месяцы_товары'!G68-'Месяцы_товары'!G56)/('Месяцы_товары'!G68+'Месяцы_товары'!G56)</x:f>
        <x:v>12.061274930390848</x:v>
      </x:c>
      <x:c r="E68" s="19" t="n">
        <x:f>200*('Месяцы_товары'!G164-'Месяцы_товары'!G152)/('Месяцы_товары'!G164+'Месяцы_товары'!G152)</x:f>
        <x:v>21.751111786369226</x:v>
      </x:c>
    </x:row>
    <x:row r="69" ht="22" customHeight="1">
      <x:c r="A69" s="20" t="d">
        <x:v>2022-03-01T00:00:00.000Z</x:v>
      </x:c>
      <x:c r="B69" s="19" t="n">
        <x:f>'Месяцы_товары'!G69/10^9</x:f>
        <x:v>2.531778170637</x:v>
      </x:c>
      <x:c r="C69" s="19" t="n">
        <x:f>'Месяцы_товары'!G165/10^9</x:f>
        <x:v>11.224235403</x:v>
      </x:c>
      <x:c r="D69" s="19" t="n">
        <x:f>200*('Месяцы_товары'!G69-'Месяцы_товары'!G57)/('Месяцы_товары'!G69+'Месяцы_товары'!G57)</x:f>
        <x:v>6.505088030525455</x:v>
      </x:c>
      <x:c r="E69" s="19" t="n">
        <x:f>200*('Месяцы_товары'!G165-'Месяцы_товары'!G153)/('Месяцы_товары'!G165+'Месяцы_товары'!G153)</x:f>
        <x:v>32.211627224307804</x:v>
      </x:c>
    </x:row>
    <x:row r="70" ht="22" customHeight="1">
      <x:c r="A70" s="20" t="d">
        <x:v>2022-04-01T00:00:00.000Z</x:v>
      </x:c>
      <x:c r="B70" s="19" t="n">
        <x:f>'Месяцы_товары'!G70/10^9</x:f>
        <x:v>2.2456408943939996</x:v>
      </x:c>
      <x:c r="C70" s="19" t="n">
        <x:f>'Месяцы_товары'!G166/10^9</x:f>
        <x:v>9.327906403</x:v>
      </x:c>
      <x:c r="D70" s="19" t="n">
        <x:f>200*('Месяцы_товары'!G70-'Месяцы_товары'!G58)/('Месяцы_товары'!G70+'Месяцы_товары'!G58)</x:f>
        <x:v>-6.186421680435102</x:v>
      </x:c>
      <x:c r="E70" s="19" t="n">
        <x:f>200*('Месяцы_товары'!G166-'Месяцы_товары'!G154)/('Месяцы_товары'!G166+'Месяцы_товары'!G154)</x:f>
        <x:v>17.182567601638535</x:v>
      </x:c>
    </x:row>
    <x:row r="71" ht="22" customHeight="1">
      <x:c r="A71" s="20" t="d">
        <x:v>2022-05-01T00:00:00.000Z</x:v>
      </x:c>
      <x:c r="B71" s="19" t="n">
        <x:f>'Месяцы_товары'!G71/10^9</x:f>
        <x:v>2.3926479244069996</x:v>
      </x:c>
      <x:c r="C71" s="19" t="n">
        <x:f>'Месяцы_товары'!G167/10^9</x:f>
        <x:v>9.860045519</x:v>
      </x:c>
      <x:c r="D71" s="19" t="n">
        <x:f>200*('Месяцы_товары'!G71-'Месяцы_товары'!G59)/('Месяцы_товары'!G71+'Месяцы_товары'!G59)</x:f>
        <x:v>6.270052999058728</x:v>
      </x:c>
      <x:c r="E71" s="19" t="n">
        <x:f>200*('Месяцы_товары'!G167-'Месяцы_товары'!G155)/('Месяцы_товары'!G167+'Месяцы_товары'!G155)</x:f>
        <x:v>13.293872437273759</x:v>
      </x:c>
    </x:row>
    <x:row r="72" ht="22" customHeight="1">
      <x:c r="A72" s="20" t="d">
        <x:v>2022-06-01T00:00:00.000Z</x:v>
      </x:c>
      <x:c r="B72" s="19" t="n">
        <x:f>'Месяцы_товары'!G72/10^9</x:f>
        <x:v>2.7226286536960003</x:v>
      </x:c>
      <x:c r="C72" s="19" t="n">
        <x:f>'Месяцы_товары'!G168/10^9</x:f>
        <x:v>10.568759202</x:v>
      </x:c>
      <x:c r="D72" s="19" t="n">
        <x:f>200*('Месяцы_товары'!G72-'Месяцы_товары'!G60)/('Месяцы_товары'!G72+'Месяцы_товары'!G60)</x:f>
        <x:v>14.978133641977658</x:v>
      </x:c>
      <x:c r="E72" s="19" t="n">
        <x:f>200*('Месяцы_товары'!G168-'Месяцы_товары'!G156)/('Месяцы_товары'!G168+'Месяцы_товары'!G156)</x:f>
        <x:v>10.879767954803649</x:v>
      </x:c>
    </x:row>
    <x:row r="73" ht="22" customHeight="1">
      <x:c r="A73" s="20" t="d">
        <x:v>2022-07-01T00:00:00.000Z</x:v>
      </x:c>
      <x:c r="B73" s="19" t="n">
        <x:f>'Месяцы_товары'!G73/10^9</x:f>
        <x:v>2.650148356315</x:v>
      </x:c>
      <x:c r="C73" s="19" t="n">
        <x:f>'Месяцы_товары'!G169/10^9</x:f>
        <x:v>9.948667512</x:v>
      </x:c>
      <x:c r="D73" s="19" t="n">
        <x:f>200*('Месяцы_товары'!G73-'Месяцы_товары'!G61)/('Месяцы_товары'!G73+'Месяцы_товары'!G61)</x:f>
        <x:v>0.5934597324286219</x:v>
      </x:c>
      <x:c r="E73" s="19" t="n">
        <x:f>200*('Месяцы_товары'!G169-'Месяцы_товары'!G157)/('Месяцы_товары'!G169+'Месяцы_товары'!G157)</x:f>
        <x:v>7.421829551456787</x:v>
      </x:c>
    </x:row>
    <x:row r="74" ht="22" customHeight="1">
      <x:c r="A74" s="20" t="d">
        <x:v>2022-08-01T00:00:00.000Z</x:v>
      </x:c>
      <x:c r="B74" s="19" t="n">
        <x:f>'Месяцы_товары'!G74/10^9</x:f>
        <x:v>2.2925518254590003</x:v>
      </x:c>
      <x:c r="C74" s="19" t="n">
        <x:f>'Месяцы_товары'!G170/10^9</x:f>
        <x:v>9.624220837</x:v>
      </x:c>
      <x:c r="D74" s="19" t="n">
        <x:f>200*('Месяцы_товары'!G74-'Месяцы_товары'!G62)/('Месяцы_товары'!G74+'Месяцы_товары'!G62)</x:f>
        <x:v>-12.267528810059765</x:v>
      </x:c>
      <x:c r="E74" s="19" t="n">
        <x:f>200*('Месяцы_товары'!G170-'Месяцы_товары'!G158)/('Месяцы_товары'!G170+'Месяцы_товары'!G158)</x:f>
        <x:v>-3.8114172971143048</x:v>
      </x:c>
    </x:row>
    <x:row r="75" ht="22" customHeight="1">
      <x:c r="A75" s="20" t="d">
        <x:v>2022-09-01T00:00:00.000Z</x:v>
      </x:c>
      <x:c r="B75" s="19" t="n">
        <x:f>'Месяцы_товары'!G75/10^9</x:f>
        <x:v>2.800437496378</x:v>
      </x:c>
      <x:c r="C75" s="19" t="n">
        <x:f>'Месяцы_товары'!G171/10^9</x:f>
        <x:v>9.835933504</x:v>
      </x:c>
      <x:c r="D75" s="19" t="n">
        <x:f>200*('Месяцы_товары'!G75-'Месяцы_товары'!G63)/('Месяцы_товары'!G75+'Месяцы_товары'!G63)</x:f>
        <x:v>-1.71323998127796</x:v>
      </x:c>
      <x:c r="E75" s="19" t="n">
        <x:f>200*('Месяцы_товары'!G171-'Месяцы_товары'!G159)/('Месяцы_товары'!G171+'Месяцы_товары'!G159)</x:f>
        <x:v>-6.466800484317528</x:v>
      </x:c>
    </x:row>
    <x:row r="76" ht="22" customHeight="1">
      <x:c r="A76" s="20" t="d">
        <x:v>2022-10-01T00:00:00.000Z</x:v>
      </x:c>
      <x:c r="B76" s="19" t="n">
        <x:f>'Месяцы_товары'!G76/10^9</x:f>
        <x:v>2.663341888463</x:v>
      </x:c>
      <x:c r="C76" s="19" t="n">
        <x:f>'Месяцы_товары'!G172/10^9</x:f>
        <x:v>8.339080366</x:v>
      </x:c>
      <x:c r="D76" s="19" t="n">
        <x:f>200*('Месяцы_товары'!G76-'Месяцы_товары'!G64)/('Месяцы_товары'!G76+'Месяцы_товары'!G64)</x:f>
        <x:v>-4.58479938950734</x:v>
      </x:c>
      <x:c r="E76" s="19" t="n">
        <x:f>200*('Месяцы_товары'!G172-'Месяцы_товары'!G160)/('Месяцы_товары'!G172+'Месяцы_товары'!G160)</x:f>
        <x:v>-13.86706025976492</x:v>
      </x:c>
    </x:row>
    <x:row r="77" ht="22" customHeight="1">
      <x:c r="A77" s="20" t="d">
        <x:v>2022-11-01T00:00:00.000Z</x:v>
      </x:c>
      <x:c r="B77" s="19" t="n">
        <x:f>'Месяцы_товары'!G77/10^9</x:f>
        <x:v>2.4267035469200002</x:v>
      </x:c>
      <x:c r="C77" s="19" t="n">
        <x:f>'Месяцы_товары'!G173/10^9</x:f>
        <x:v>7.655352657</x:v>
      </x:c>
      <x:c r="D77" s="19" t="n">
        <x:f>200*('Месяцы_товары'!G77-'Месяцы_товары'!G65)/('Месяцы_товары'!G77+'Месяцы_товары'!G65)</x:f>
        <x:v>-11.134924296796125</x:v>
      </x:c>
      <x:c r="E77" s="19" t="n">
        <x:f>200*('Месяцы_товары'!G173-'Месяцы_товары'!G161)/('Месяцы_товары'!G173+'Месяцы_товары'!G161)</x:f>
        <x:v>-29.396534081585337</x:v>
      </x:c>
    </x:row>
    <x:row r="78" ht="22" customHeight="1">
      <x:c r="A78" s="20" t="d">
        <x:v>2022-12-01T00:00:00.000Z</x:v>
      </x:c>
      <x:c r="B78" s="19" t="n">
        <x:f>'Месяцы_товары'!G78/10^9</x:f>
        <x:v>2.562442454292</x:v>
      </x:c>
      <x:c r="C78" s="19" t="n">
        <x:f>'Месяцы_товары'!G174/10^9</x:f>
        <x:v>7.676938737</x:v>
      </x:c>
      <x:c r="D78" s="19" t="n">
        <x:f>200*('Месяцы_товары'!G78-'Месяцы_товары'!G66)/('Месяцы_товары'!G78+'Месяцы_товары'!G66)</x:f>
        <x:v>-15.54467739327718</x:v>
      </x:c>
      <x:c r="E78" s="19" t="n">
        <x:f>200*('Месяцы_товары'!G174-'Месяцы_товары'!G162)/('Месяцы_товары'!G174+'Месяцы_товары'!G162)</x:f>
        <x:v>-33.0239066505943</x:v>
      </x:c>
    </x:row>
    <x:row r="79" ht="22" customHeight="1">
      <x:c r="A79" s="20" t="d">
        <x:v>2023-01-01T00:00:00.000Z</x:v>
      </x:c>
      <x:c r="B79" s="19" t="n">
        <x:f>'Месяцы_товары'!G79/10^9</x:f>
        <x:v>2.267876230967</x:v>
      </x:c>
      <x:c r="C79" s="19" t="n">
        <x:f>'Месяцы_товары'!G175/10^9</x:f>
        <x:v>5.386204354</x:v>
      </x:c>
      <x:c r="D79" s="19" t="n">
        <x:f>200*('Месяцы_товары'!G79-'Месяцы_товары'!G67)/('Месяцы_товары'!G79+'Месяцы_товары'!G67)</x:f>
        <x:v>-7.449676091341064</x:v>
      </x:c>
      <x:c r="E79" s="19" t="n">
        <x:f>200*('Месяцы_товары'!G175-'Месяцы_товары'!G163)/('Месяцы_товары'!G175+'Месяцы_товары'!G163)</x:f>
        <x:v>-54.31761120806404</x:v>
      </x:c>
    </x:row>
    <x:row r="80" ht="22" customHeight="1">
      <x:c r="A80" s="20" t="d">
        <x:v>2023-02-01T00:00:00.000Z</x:v>
      </x:c>
      <x:c r="B80" s="19" t="n">
        <x:f>'Месяцы_товары'!G80/10^9</x:f>
        <x:v>2.215402375178</x:v>
      </x:c>
      <x:c r="C80" s="19" t="n">
        <x:f>'Месяцы_товары'!G176/10^9</x:f>
        <x:v>5.298890223</x:v>
      </x:c>
      <x:c r="D80" s="19" t="n">
        <x:f>200*('Месяцы_товары'!G80-'Месяцы_товары'!G68)/('Месяцы_товары'!G80+'Месяцы_товары'!G68)</x:f>
        <x:v>-9.090259333633975</x:v>
      </x:c>
      <x:c r="E80" s="19" t="n">
        <x:f>200*('Месяцы_товары'!G176-'Месяцы_товары'!G164)/('Месяцы_товары'!G176+'Месяцы_товары'!G164)</x:f>
        <x:v>-50.928584476011636</x:v>
      </x:c>
    </x:row>
    <x:row r="81" ht="22" customHeight="1">
      <x:c r="A81" s="20" t="d">
        <x:v>2023-03-01T00:00:00.000Z</x:v>
      </x:c>
      <x:c r="B81" s="19" t="n">
        <x:f>'Месяцы_товары'!G81/10^9</x:f>
        <x:v>2.47133810812</x:v>
      </x:c>
      <x:c r="C81" s="19" t="n">
        <x:f>'Месяцы_товары'!G177/10^9</x:f>
        <x:v>7.372006402</x:v>
      </x:c>
      <x:c r="D81" s="19" t="n">
        <x:f>200*('Месяцы_товары'!G81-'Месяцы_товары'!G69)/('Месяцы_товары'!G81+'Месяцы_товары'!G69)</x:f>
        <x:v>-2.416096654544125</x:v>
      </x:c>
      <x:c r="E81" s="19" t="n">
        <x:f>200*('Месяцы_товары'!G177-'Месяцы_товары'!G165)/('Месяцы_товары'!G177+'Месяцы_товары'!G165)</x:f>
        <x:v>-41.430188329388635</x:v>
      </x:c>
    </x:row>
    <x:row r="82" ht="22" customHeight="1">
      <x:c r="A82" s="20" t="d">
        <x:v>2023-04-01T00:00:00.000Z</x:v>
      </x:c>
      <x:c r="B82" s="19" t="n">
        <x:f>'Месяцы_товары'!G82/10^9</x:f>
        <x:v>2.073524268643</x:v>
      </x:c>
      <x:c r="C82" s="19" t="n">
        <x:f>'Месяцы_товары'!G178/10^9</x:f>
        <x:v>5.732019044</x:v>
      </x:c>
      <x:c r="D82" s="19" t="n">
        <x:f>200*('Месяцы_товары'!G82-'Месяцы_товары'!G70)/('Месяцы_товары'!G82+'Месяцы_товары'!G70)</x:f>
        <x:v>-7.9699024813386155</x:v>
      </x:c>
      <x:c r="E82" s="19" t="n">
        <x:f>200*('Месяцы_товары'!G178-'Месяцы_товары'!G166)/('Месяцы_товары'!G178+'Месяцы_товары'!G166)</x:f>
        <x:v>-47.754384597120506</x:v>
      </x:c>
    </x:row>
    <x:row r="83" ht="22" customHeight="1">
      <x:c r="A83" s="20" t="d">
        <x:v>2023-05-01T00:00:00.000Z</x:v>
      </x:c>
      <x:c r="B83" s="19" t="n">
        <x:f>'Месяцы_товары'!G83/10^9</x:f>
        <x:v>2.014659975021</x:v>
      </x:c>
      <x:c r="C83" s="19" t="n">
        <x:f>'Месяцы_товары'!G179/10^9</x:f>
        <x:v>6.657503155</x:v>
      </x:c>
      <x:c r="D83" s="19" t="n">
        <x:f>200*('Месяцы_товары'!G83-'Месяцы_товары'!G71)/('Месяцы_товары'!G83+'Месяцы_товары'!G71)</x:f>
        <x:v>-17.152781607795394</x:v>
      </x:c>
      <x:c r="E83" s="19" t="n">
        <x:f>200*('Месяцы_товары'!G179-'Месяцы_товары'!G167)/('Месяцы_товары'!G179+'Месяцы_товары'!G167)</x:f>
        <x:v>-38.77745332806034</x:v>
      </x:c>
    </x:row>
    <x:row r="84" ht="22" customHeight="1">
      <x:c r="A84" s="20" t="d">
        <x:v>2023-06-01T00:00:00.000Z</x:v>
      </x:c>
      <x:c r="B84" s="19" t="n">
        <x:f>'Месяцы_товары'!G84/10^9</x:f>
        <x:v>2.372146757451</x:v>
      </x:c>
      <x:c r="C84" s="19" t="n">
        <x:f>'Месяцы_товары'!G180/10^9</x:f>
        <x:v>7.80555831</x:v>
      </x:c>
      <x:c r="D84" s="19" t="n">
        <x:f>200*('Месяцы_товары'!G84-'Месяцы_товары'!G72)/('Месяцы_товары'!G84+'Месяцы_товары'!G72)</x:f>
        <x:v>-13.75848267926279</x:v>
      </x:c>
      <x:c r="E84" s="19" t="n">
        <x:f>200*('Месяцы_товары'!G180-'Месяцы_товары'!G168)/('Месяцы_товары'!G180+'Месяцы_товары'!G168)</x:f>
        <x:v>-30.07677308499098</x:v>
      </x:c>
    </x:row>
    <x:row r="85" ht="22" customHeight="1">
      <x:c r="A85" s="20" t="d">
        <x:v>2023-07-01T00:00:00.000Z</x:v>
      </x:c>
      <x:c r="B85" s="19" t="n">
        <x:f>'Месяцы_товары'!G85/10^9</x:f>
        <x:v>2.224738980726</x:v>
      </x:c>
      <x:c r="C85" s="19" t="n">
        <x:f>'Месяцы_товары'!G181/10^9</x:f>
        <x:v>6.516573384</x:v>
      </x:c>
      <x:c r="D85" s="19" t="n">
        <x:f>200*('Месяцы_товары'!G85-'Месяцы_товары'!G73)/('Месяцы_товары'!G85+'Месяцы_товары'!G73)</x:f>
        <x:v>-17.45309567901599</x:v>
      </x:c>
      <x:c r="E85" s="19" t="n">
        <x:f>200*('Месяцы_товары'!G181-'Месяцы_товары'!G169)/('Месяцы_товары'!G181+'Месяцы_товары'!G169)</x:f>
        <x:v>-41.688963431245995</x:v>
      </x:c>
    </x:row>
    <x:row r="86" ht="22" customHeight="1">
      <x:c r="A86" s="20" t="d">
        <x:v>2023-08-01T00:00:00.000Z</x:v>
      </x:c>
      <x:c r="B86" s="19" t="n">
        <x:f>'Месяцы_товары'!G86/10^9</x:f>
        <x:v>2.476962812277</x:v>
      </x:c>
      <x:c r="C86" s="19" t="n">
        <x:f>'Месяцы_товары'!G182/10^9</x:f>
        <x:v>7.684818896</x:v>
      </x:c>
      <x:c r="D86" s="19" t="n">
        <x:f>200*('Месяцы_товары'!G86-'Месяцы_товары'!G74)/('Месяцы_товары'!G86+'Месяцы_товары'!G74)</x:f>
        <x:v>7.732903694600539</x:v>
      </x:c>
      <x:c r="E86" s="19" t="n">
        <x:f>200*('Месяцы_товары'!G182-'Месяцы_товары'!G170)/('Месяцы_товары'!G182+'Месяцы_товары'!G170)</x:f>
        <x:v>-22.409122295819735</x:v>
      </x:c>
    </x:row>
    <x:row r="87" ht="22" customHeight="1">
      <x:c r="A87" s="20" t="d">
        <x:v>2023-09-01T00:00:00.000Z</x:v>
      </x:c>
      <x:c r="B87" s="19" t="n">
        <x:f>'Месяцы_товары'!G87/10^9</x:f>
        <x:v>2.450276101676</x:v>
      </x:c>
      <x:c r="C87" s="19" t="n">
        <x:f>'Месяцы_товары'!G183/10^9</x:f>
        <x:v>8.413045055</x:v>
      </x:c>
      <x:c r="D87" s="19" t="n">
        <x:f>200*('Месяцы_товары'!G87-'Месяцы_товары'!G75)/('Месяцы_товары'!G87+'Месяцы_товары'!G75)</x:f>
        <x:v>-13.337668801123549</x:v>
      </x:c>
      <x:c r="E87" s="19" t="n">
        <x:f>200*('Месяцы_товары'!G183-'Месяцы_товары'!G171)/('Месяцы_товары'!G183+'Месяцы_товары'!G171)</x:f>
        <x:v>-15.594170867149847</x:v>
      </x:c>
    </x:row>
    <x:row r="88" ht="22" customHeight="1">
      <x:c r="A88" s="20" t="d">
        <x:v>2023-10-01T00:00:00.000Z</x:v>
      </x:c>
      <x:c r="B88" s="19" t="n">
        <x:f>'Месяцы_товары'!G88/10^9</x:f>
        <x:v>2.665658916647</x:v>
      </x:c>
      <x:c r="C88" s="19" t="n">
        <x:f>'Месяцы_товары'!G184/10^9</x:f>
        <x:v>7.803076569</x:v>
      </x:c>
      <x:c r="D88" s="19" t="n">
        <x:f>200*('Месяцы_товары'!G88-'Месяцы_товары'!G76)/('Месяцы_товары'!G88+'Месяцы_товары'!G76)</x:f>
        <x:v>0.08695919812129449</x:v>
      </x:c>
      <x:c r="E88" s="19" t="n">
        <x:f>200*('Месяцы_товары'!G184-'Месяцы_товары'!G172)/('Месяцы_товары'!G184+'Месяцы_товары'!G172)</x:f>
        <x:v>-6.6410430670243015</x:v>
      </x:c>
    </x:row>
    <x:row r="89" ht="22" customHeight="1">
      <x:c r="A89" s="20" t="d">
        <x:v>2023-11-01T00:00:00.000Z</x:v>
      </x:c>
      <x:c r="B89" s="19" t="n">
        <x:f>'Месяцы_товары'!G89/10^9</x:f>
        <x:v>2.6304881539020006</x:v>
      </x:c>
      <x:c r="C89" s="19" t="n">
        <x:f>'Месяцы_товары'!G185/10^9</x:f>
        <x:v>8.136902455</x:v>
      </x:c>
      <x:c r="D89" s="19" t="n">
        <x:f>200*('Месяцы_товары'!G89-'Месяцы_товары'!G77)/('Месяцы_товары'!G89+'Месяцы_товары'!G77)</x:f>
        <x:v>8.059200403610447</x:v>
      </x:c>
      <x:c r="E89" s="19" t="n">
        <x:f>200*('Месяцы_товары'!G185-'Месяцы_товары'!G173)/('Месяцы_товары'!G185+'Месяцы_товары'!G173)</x:f>
        <x:v>6.098556470685262</x:v>
      </x:c>
    </x:row>
    <x:row r="90" ht="22" customHeight="1">
      <x:c r="A90" s="20" t="d">
        <x:v>2023-12-01T00:00:00.000Z</x:v>
      </x:c>
      <x:c r="B90" s="19" t="n">
        <x:f>'Месяцы_товары'!G90/10^9</x:f>
        <x:v>2.532133149636</x:v>
      </x:c>
      <x:c r="C90" s="19" t="n">
        <x:f>'Месяцы_товары'!G186/10^9</x:f>
        <x:v>8.981052915</x:v>
      </x:c>
      <x:c r="D90" s="19" t="n">
        <x:f>200*('Месяцы_товары'!G90-'Месяцы_товары'!G78)/('Месяцы_товары'!G90+'Месяцы_товары'!G78)</x:f>
        <x:v>-1.189865732196837</x:v>
      </x:c>
      <x:c r="E90" s="19" t="n">
        <x:f>200*('Месяцы_товары'!G186-'Месяцы_товары'!G174)/('Месяцы_товары'!G186+'Месяцы_товары'!G174)</x:f>
        <x:v>15.65751988888078</x:v>
      </x:c>
    </x:row>
    <x:row r="91" ht="22" customHeight="1">
      <x:c r="A91" s="20" t="d">
        <x:v>2024-01-01T00:00:00.000Z</x:v>
      </x:c>
      <x:c r="B91" s="19" t="n">
        <x:f>'Месяцы_товары'!G91/10^9</x:f>
        <x:v>2.245932998969</x:v>
      </x:c>
      <x:c r="C91" s="19" t="n">
        <x:f>'Месяцы_товары'!G187/10^9</x:f>
        <x:v>8.174411414</x:v>
      </x:c>
      <x:c r="D91" s="19" t="n">
        <x:f>200*('Месяцы_товары'!G91-'Месяцы_товары'!G79)/('Месяцы_товары'!G91+'Месяцы_товары'!G79)</x:f>
        <x:v>-0.9722711297797259</x:v>
      </x:c>
      <x:c r="E91" s="19" t="n">
        <x:f>200*('Месяцы_товары'!G187-'Месяцы_товары'!G175)/('Месяцы_товары'!G187+'Месяцы_товары'!G175)</x:f>
        <x:v>41.12213055368092</x:v>
      </x:c>
    </x:row>
    <x:row r="92" ht="22" customHeight="1">
      <x:c r="A92" s="20" t="d">
        <x:v>2024-02-01T00:00:00.000Z</x:v>
      </x:c>
      <x:c r="B92" s="19" t="n">
        <x:f>'Месяцы_товары'!G92/10^9</x:f>
        <x:v>2.175557146024</x:v>
      </x:c>
      <x:c r="C92" s="19" t="n">
        <x:f>'Месяцы_товары'!G188/10^9</x:f>
        <x:v>8.594064396</x:v>
      </x:c>
      <x:c r="D92" s="19" t="n">
        <x:f>200*('Месяцы_товары'!G92-'Месяцы_товары'!G80)/('Месяцы_товары'!G92+'Месяцы_товары'!G80)</x:f>
        <x:v>-1.8148757218828748</x:v>
      </x:c>
      <x:c r="E92" s="19" t="n">
        <x:f>200*('Месяцы_товары'!G188-'Месяцы_товары'!G176)/('Месяцы_товары'!G188+'Месяцы_товары'!G176)</x:f>
        <x:v>47.43662184706946</x:v>
      </x:c>
    </x:row>
    <x:row r="93" ht="22" customHeight="1">
      <x:c r="A93" s="20" t="d">
        <x:v>2024-03-01T00:00:00.000Z</x:v>
      </x:c>
      <x:c r="B93" s="19" t="n">
        <x:f>'Месяцы_товары'!G93/10^9</x:f>
        <x:v>2.5578143940010003</x:v>
      </x:c>
      <x:c r="C93" s="19" t="n">
        <x:f>'Месяцы_товары'!G189/10^9</x:f>
        <x:v>9.556998868</x:v>
      </x:c>
      <x:c r="D93" s="19" t="n">
        <x:f>200*('Месяцы_товары'!G93-'Месяцы_товары'!G81)/('Месяцы_товары'!G93+'Месяцы_товары'!G81)</x:f>
        <x:v>3.439000342285501</x:v>
      </x:c>
      <x:c r="E93" s="19" t="n">
        <x:f>200*('Месяцы_товары'!G189-'Месяцы_товары'!G177)/('Месяцы_товары'!G189+'Месяцы_товары'!G177)</x:f>
        <x:v>25.81359543755402</x:v>
      </x:c>
    </x:row>
    <x:row r="94" ht="22" customHeight="1">
      <x:c r="A94" s="20" t="d">
        <x:v>2024-04-01T00:00:00.000Z</x:v>
      </x:c>
      <x:c r="B94" s="19" t="n">
        <x:f>'Месяцы_товары'!G94/10^9</x:f>
        <x:v>2.344049887468</x:v>
      </x:c>
      <x:c r="C94" s="19" t="n">
        <x:f>'Месяцы_товары'!G190/10^9</x:f>
        <x:v>8.591239292</x:v>
      </x:c>
      <x:c r="D94" s="19" t="n">
        <x:f>200*('Месяцы_товары'!G94-'Месяцы_товары'!G82)/('Месяцы_товары'!G94+'Месяцы_товары'!G82)</x:f>
        <x:v>12.247700175028022</x:v>
      </x:c>
      <x:c r="E94" s="19" t="n">
        <x:f>200*('Месяцы_товары'!G190-'Месяцы_товары'!G178)/('Месяцы_товары'!G190+'Месяцы_товары'!G178)</x:f>
        <x:v>39.92415944650878</x:v>
      </x:c>
    </x:row>
    <x:row r="95" ht="22" customHeight="1">
      <x:c r="A95" s="20" t="d">
        <x:v>2024-05-01T00:00:00.000Z</x:v>
      </x:c>
      <x:c r="B95" s="19" t="n">
        <x:f>'Месяцы_товары'!G95/10^9</x:f>
        <x:v>2.3395096692860005</x:v>
      </x:c>
      <x:c r="C95" s="19" t="n">
        <x:f>'Месяцы_товары'!G191/10^9</x:f>
        <x:v>9.784395482</x:v>
      </x:c>
      <x:c r="D95" s="19" t="n">
        <x:f>200*('Месяцы_товары'!G95-'Месяцы_товары'!G83)/('Месяцы_товары'!G95+'Месяцы_товары'!G83)</x:f>
        <x:v>14.921315465498024</x:v>
      </x:c>
      <x:c r="E95" s="19" t="n">
        <x:f>200*('Месяцы_товары'!G191-'Месяцы_товары'!G179)/('Месяцы_товары'!G191+'Месяцы_товары'!G179)</x:f>
        <x:v>38.03565994456872</x:v>
      </x:c>
    </x:row>
    <x:row r="96" ht="22" customHeight="1">
      <x:c r="A96" s="20" t="d">
        <x:v>2024-06-01T00:00:00.000Z</x:v>
      </x:c>
      <x:c r="B96" s="19" t="n">
        <x:f>'Месяцы_товары'!G96/10^9</x:f>
        <x:v>2.2996940683909997</x:v>
      </x:c>
      <x:c r="C96" s="19" t="n">
        <x:f>'Месяцы_товары'!G192/10^9</x:f>
        <x:v>11.184546026</x:v>
      </x:c>
      <x:c r="D96" s="19" t="n">
        <x:f>200*('Месяцы_товары'!G96-'Месяцы_товары'!G84)/('Месяцы_товары'!G96+'Месяцы_товары'!G84)</x:f>
        <x:v>-3.1016762668467996</x:v>
      </x:c>
      <x:c r="E96" s="19" t="n">
        <x:f>200*('Месяцы_товары'!G192-'Месяцы_товары'!G180)/('Месяцы_товары'!G192+'Месяцы_товары'!G180)</x:f>
        <x:v>35.58682623553965</x:v>
      </x:c>
    </x:row>
    <x:row r="97" ht="22" customHeight="1">
      <x:c r="A97" s="20" t="d">
        <x:v>2024-07-01T00:00:00.000Z</x:v>
      </x:c>
      <x:c r="B97" s="19" t="n">
        <x:f>'Месяцы_товары'!G97/10^9</x:f>
        <x:v>2.654493824377</x:v>
      </x:c>
      <x:c r="C97" s="19" t="n">
        <x:f>'Месяцы_товары'!G193/10^9</x:f>
        <x:v>9.700879695</x:v>
      </x:c>
      <x:c r="D97" s="19" t="n">
        <x:f>200*('Месяцы_товары'!G97-'Месяцы_товары'!G85)/('Месяцы_товары'!G97+'Месяцы_товары'!G85)</x:f>
        <x:v>17.615672824692282</x:v>
      </x:c>
      <x:c r="E97" s="19" t="n">
        <x:f>200*('Месяцы_товары'!G193-'Месяцы_товары'!G181)/('Месяцы_товары'!G193+'Месяцы_товары'!G181)</x:f>
        <x:v>39.27011591139872</x:v>
      </x:c>
    </x:row>
    <x:row r="98" ht="22" customHeight="1">
      <x:c r="A98" s="20" t="d">
        <x:v>2024-08-01T00:00:00.000Z</x:v>
      </x:c>
      <x:c r="B98" s="19" t="n">
        <x:f>'Месяцы_товары'!G98/10^9</x:f>
        <x:v>2.925263318537</x:v>
      </x:c>
      <x:c r="C98" s="19" t="n">
        <x:f>'Месяцы_товары'!G194/10^9</x:f>
        <x:v>10.100485944</x:v>
      </x:c>
      <x:c r="D98" s="19" t="n">
        <x:f>200*('Месяцы_товары'!G98-'Месяцы_товары'!G86)/('Месяцы_товары'!G98+'Месяцы_товары'!G86)</x:f>
        <x:v>16.59688044907703</x:v>
      </x:c>
      <x:c r="E98" s="19" t="n">
        <x:f>200*('Месяцы_товары'!G194-'Месяцы_товары'!G182)/('Месяцы_товары'!G194+'Месяцы_товары'!G182)</x:f>
        <x:v>27.16475280836401</x:v>
      </x:c>
    </x:row>
    <x:row r="99" ht="22" customHeight="1">
      <x:c r="A99" s="20" t="d">
        <x:v>2024-09-01T00:00:00.000Z</x:v>
      </x:c>
      <x:c r="B99" s="19" t="n">
        <x:f>'Месяцы_товары'!G99/10^9</x:f>
        <x:v>3.01649862794</x:v>
      </x:c>
      <x:c r="C99" s="19" t="n">
        <x:f>'Месяцы_товары'!G195/10^9</x:f>
        <x:v>11.293880157</x:v>
      </x:c>
      <x:c r="D99" s="19" t="n">
        <x:f>200*('Месяцы_товары'!G99-'Месяцы_товары'!G87)/('Месяцы_товары'!G99+'Месяцы_товары'!G87)</x:f>
        <x:v>20.71504879089001</x:v>
      </x:c>
      <x:c r="E99" s="19" t="n">
        <x:f>200*('Месяцы_товары'!G195-'Месяцы_товары'!G183)/('Месяцы_товары'!G195+'Месяцы_товары'!G183)</x:f>
        <x:v>29.236779162746235</x:v>
      </x:c>
    </x:row>
    <x:row r="100" ht="22" customHeight="1">
      <x:c r="A100" s="20" t="d">
        <x:v>2024-10-01T00:00:00.000Z</x:v>
      </x:c>
      <x:c r="B100" s="19" t="n">
        <x:f>'Месяцы_товары'!G100/10^9</x:f>
        <x:v>2.734812677541</x:v>
      </x:c>
      <x:c r="C100" s="19" t="n">
        <x:f>'Месяцы_товары'!G196/10^9</x:f>
        <x:v>10.804545187</x:v>
      </x:c>
      <x:c r="D100" s="19" t="n">
        <x:f>200*('Месяцы_товары'!G100-'Месяцы_товары'!G88)/('Месяцы_товары'!G100+'Месяцы_товары'!G88)</x:f>
        <x:v>2.561026743235647</x:v>
      </x:c>
      <x:c r="E100" s="19" t="n">
        <x:f>200*('Месяцы_товары'!G196-'Месяцы_товары'!G184)/('Месяцы_товары'!G196+'Месяцы_товары'!G184)</x:f>
        <x:v>32.260636607493176</x:v>
      </x:c>
    </x:row>
    <x:row r="101" ht="22" customHeight="1">
      <x:c r="A101" s="20" t="d">
        <x:v>2024-11-01T00:00:00.000Z</x:v>
      </x:c>
      <x:c r="B101" s="19" t="n">
        <x:f>'Месяцы_товары'!G101/10^9</x:f>
        <x:v>2.471306802996</x:v>
      </x:c>
      <x:c r="C101" s="19" t="n">
        <x:f>'Месяцы_товары'!G197/10^9</x:f>
        <x:v>10.389837168</x:v>
      </x:c>
      <x:c r="D101" s="19" t="n">
        <x:f>200*('Месяцы_товары'!G101-'Месяцы_товары'!G89)/('Месяцы_товары'!G101+'Месяцы_товары'!G89)</x:f>
        <x:v>-6.240209661533939</x:v>
      </x:c>
      <x:c r="E101" s="19" t="n">
        <x:f>200*('Месяцы_товары'!G197-'Месяцы_товары'!G185)/('Месяцы_товары'!G197+'Месяцы_товары'!G185)</x:f>
        <x:v>24.32089788969773</x:v>
      </x:c>
    </x:row>
    <x:row r="102" ht="22" customHeight="1">
      <x:c r="A102" s="20" t="d">
        <x:v>2024-12-01T00:00:00.000Z</x:v>
      </x:c>
      <x:c r="B102" s="19" t="n">
        <x:f>'Месяцы_товары'!G102/10^9</x:f>
        <x:v>2.6130150007860005</x:v>
      </x:c>
      <x:c r="C102" s="19" t="n">
        <x:f>'Месяцы_товары'!G198/10^9</x:f>
        <x:v>11.644714672</x:v>
      </x:c>
      <x:c r="D102" s="19" t="n">
        <x:f>200*('Месяцы_товары'!G102-'Месяцы_товары'!G90)/('Месяцы_товары'!G102+'Месяцы_товары'!G90)</x:f>
        <x:v>3.1440047510922007</x:v>
      </x:c>
      <x:c r="E102" s="19" t="n">
        <x:f>200*('Месяцы_товары'!G198-'Месяцы_товары'!G186)/('Месяцы_товары'!G198+'Месяцы_товары'!G186)</x:f>
        <x:v>25.828486098901372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4" t="str">
        <x:v>2.2 Индексы экспорта четырёх товарных групп</x:v>
      </x:c>
      <x:c r="B2" s="5"/>
      <x:c r="C2" s="5"/>
      <x:c r="D2" s="5"/>
      <x:c r="E2" s="5"/>
      <x:c r="F2" s="5"/>
      <x:c r="G2" s="5"/>
      <x:c r="H2" s="5"/>
      <x:c r="I2" s="5"/>
    </x:row>
    <x:row r="3" ht="22" customHeight="1">
      <x:c r="A3" s="6" t="str">
        <x:v>Годовая номинальная стоимость. Для каждой страны и товара 2017 год = 100.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7" t="str">
        <x:v>Источник: S01</x:v>
      </x:c>
      <x:c r="B4" s="2"/>
      <x:c r="C4" s="2"/>
      <x:c r="D4" s="2"/>
      <x:c r="E4" s="2"/>
      <x:c r="F4" s="2"/>
      <x:c r="G4" s="2"/>
      <x:c r="H4" s="2"/>
      <x:c r="I4" s="2"/>
    </x:row>
    <x:row r="5" ht="26" customHeight="1">
      <x:c r="A5" s="8" t="str">
        <x:v>Япония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3" t="str">
        <x:v>Год</x:v>
      </x:c>
      <x:c r="B6" s="13" t="str">
        <x:v>854231, долл.</x:v>
      </x:c>
      <x:c r="C6" s="13" t="str">
        <x:v>854232, долл.</x:v>
      </x:c>
      <x:c r="D6" s="13" t="str">
        <x:v>854233, долл.</x:v>
      </x:c>
      <x:c r="E6" s="13" t="str">
        <x:v>854239, долл.</x:v>
      </x:c>
      <x:c r="F6" s="13" t="str">
        <x:v>Процессоры и контроллеры, индекс</x:v>
      </x:c>
      <x:c r="G6" s="13" t="str">
        <x:v>Память, индекс</x:v>
      </x:c>
      <x:c r="H6" s="13" t="str">
        <x:v>Усилители, индекс</x:v>
      </x:c>
      <x:c r="I6" s="13" t="str">
        <x:v>Прочие интегральные схемы, индекс</x:v>
      </x:c>
    </x:row>
    <x:row r="7" ht="22" customHeight="1">
      <x:c r="A7" s="18" t="n">
        <x:v>2017</x:v>
      </x:c>
      <x:c r="B7" s="19" t="n">
        <x:v>3957565041.245</x:v>
      </x:c>
      <x:c r="C7" s="19" t="n">
        <x:v>9741604463.971</x:v>
      </x:c>
      <x:c r="D7" s="19" t="n">
        <x:v>475307142.96999997</x:v>
      </x:c>
      <x:c r="E7" s="19" t="n">
        <x:v>10818622620.696</x:v>
      </x:c>
      <x:c r="F7" s="19" t="n">
        <x:f>B7/$B$7*100</x:f>
        <x:v>100</x:v>
      </x:c>
      <x:c r="G7" s="19" t="n">
        <x:f>C7/$C$7*100</x:f>
        <x:v>100</x:v>
      </x:c>
      <x:c r="H7" s="19" t="n">
        <x:f>D7/$D$7*100</x:f>
        <x:v>100</x:v>
      </x:c>
      <x:c r="I7" s="19" t="n">
        <x:f>E7/$E$7*100</x:f>
        <x:v>100</x:v>
      </x:c>
    </x:row>
    <x:row r="8" ht="22" customHeight="1">
      <x:c r="A8" s="18" t="n">
        <x:v>2018</x:v>
      </x:c>
      <x:c r="B8" s="19" t="n">
        <x:v>3489641407.295</x:v>
      </x:c>
      <x:c r="C8" s="19" t="n">
        <x:v>11599477389.167</x:v>
      </x:c>
      <x:c r="D8" s="19" t="n">
        <x:v>403749002.932</x:v>
      </x:c>
      <x:c r="E8" s="19" t="n">
        <x:v>10794911190.318</x:v>
      </x:c>
      <x:c r="F8" s="19" t="n">
        <x:f>B8/$B$7*100</x:f>
        <x:v>88.17647646789408</x:v>
      </x:c>
      <x:c r="G8" s="19" t="n">
        <x:f>C8/$C$7*100</x:f>
        <x:v>119.07152904911382</x:v>
      </x:c>
      <x:c r="H8" s="19" t="n">
        <x:f>D8/$D$7*100</x:f>
        <x:v>84.94486331704117</x:v>
      </x:c>
      <x:c r="I8" s="19" t="n">
        <x:f>E8/$E$7*100</x:f>
        <x:v>99.78082764128736</x:v>
      </x:c>
    </x:row>
    <x:row r="9" ht="22" customHeight="1">
      <x:c r="A9" s="18" t="n">
        <x:v>2019</x:v>
      </x:c>
      <x:c r="B9" s="19" t="n">
        <x:v>3137660995.224</x:v>
      </x:c>
      <x:c r="C9" s="19" t="n">
        <x:v>11066187541.868</x:v>
      </x:c>
      <x:c r="D9" s="19" t="n">
        <x:v>307109660.398</x:v>
      </x:c>
      <x:c r="E9" s="19" t="n">
        <x:v>11535881593.189</x:v>
      </x:c>
      <x:c r="F9" s="19" t="n">
        <x:f>B9/$B$7*100</x:f>
        <x:v>79.28261348894803</x:v>
      </x:c>
      <x:c r="G9" s="19" t="n">
        <x:f>C9/$C$7*100</x:f>
        <x:v>113.59717573009584</x:v>
      </x:c>
      <x:c r="H9" s="19" t="n">
        <x:f>D9/$D$7*100</x:f>
        <x:v>64.61288557100096</x:v>
      </x:c>
      <x:c r="I9" s="19" t="n">
        <x:f>E9/$E$7*100</x:f>
        <x:v>106.62985481276411</x:v>
      </x:c>
    </x:row>
    <x:row r="10" ht="22" customHeight="1">
      <x:c r="A10" s="18" t="n">
        <x:v>2020</x:v>
      </x:c>
      <x:c r="B10" s="19" t="n">
        <x:v>2775168156.553</x:v>
      </x:c>
      <x:c r="C10" s="19" t="n">
        <x:v>12246854060.264</x:v>
      </x:c>
      <x:c r="D10" s="19" t="n">
        <x:v>283367204.472</x:v>
      </x:c>
      <x:c r="E10" s="19" t="n">
        <x:v>11202040959.939</x:v>
      </x:c>
      <x:c r="F10" s="19" t="n">
        <x:f>B10/$B$7*100</x:f>
        <x:v>70.1231218597981</x:v>
      </x:c>
      <x:c r="G10" s="19" t="n">
        <x:f>C10/$C$7*100</x:f>
        <x:v>125.71701207494701</x:v>
      </x:c>
      <x:c r="H10" s="19" t="n">
        <x:f>D10/$D$7*100</x:f>
        <x:v>59.61770376547556</x:v>
      </x:c>
      <x:c r="I10" s="19" t="n">
        <x:f>E10/$E$7*100</x:f>
        <x:v>103.54405872804475</x:v>
      </x:c>
    </x:row>
    <x:row r="11" ht="22" customHeight="1">
      <x:c r="A11" s="18" t="n">
        <x:v>2021</x:v>
      </x:c>
      <x:c r="B11" s="19" t="n">
        <x:v>3348191751.447</x:v>
      </x:c>
      <x:c r="C11" s="19" t="n">
        <x:v>14662025557.081</x:v>
      </x:c>
      <x:c r="D11" s="19" t="n">
        <x:v>273095901.442</x:v>
      </x:c>
      <x:c r="E11" s="19" t="n">
        <x:v>12142137464.59</x:v>
      </x:c>
      <x:c r="F11" s="19" t="n">
        <x:f>B11/$B$7*100</x:f>
        <x:v>84.60231775227379</x:v>
      </x:c>
      <x:c r="G11" s="19" t="n">
        <x:f>C11/$C$7*100</x:f>
        <x:v>150.50934998755093</x:v>
      </x:c>
      <x:c r="H11" s="19" t="n">
        <x:f>D11/$D$7*100</x:f>
        <x:v>57.456721507599354</x:v>
      </x:c>
      <x:c r="I11" s="19" t="n">
        <x:f>E11/$E$7*100</x:f>
        <x:v>112.23367234718143</x:v>
      </x:c>
    </x:row>
    <x:row r="12" ht="22" customHeight="1">
      <x:c r="A12" s="18" t="n">
        <x:v>2022</x:v>
      </x:c>
      <x:c r="B12" s="19" t="n">
        <x:v>3558531443.978</x:v>
      </x:c>
      <x:c r="C12" s="19" t="n">
        <x:v>13412623075.512</x:v>
      </x:c>
      <x:c r="D12" s="19" t="n">
        <x:v>247256649.214</x:v>
      </x:c>
      <x:c r="E12" s="19" t="n">
        <x:v>12939649555.302</x:v>
      </x:c>
      <x:c r="F12" s="19" t="n">
        <x:f>B12/$B$7*100</x:f>
        <x:v>89.91719420632772</x:v>
      </x:c>
      <x:c r="G12" s="19" t="n">
        <x:f>C12/$C$7*100</x:f>
        <x:v>137.6839218335967</x:v>
      </x:c>
      <x:c r="H12" s="19" t="n">
        <x:f>D12/$D$7*100</x:f>
        <x:v>52.020394153766404</x:v>
      </x:c>
      <x:c r="I12" s="19" t="n">
        <x:f>E12/$E$7*100</x:f>
        <x:v>119.60533248057365</x:v>
      </x:c>
    </x:row>
    <x:row r="13" ht="22" customHeight="1">
      <x:c r="A13" s="18" t="n">
        <x:v>2023</x:v>
      </x:c>
      <x:c r="B13" s="19" t="n">
        <x:v>3257857459.98</x:v>
      </x:c>
      <x:c r="C13" s="19" t="n">
        <x:v>11497205741.778</x:v>
      </x:c>
      <x:c r="D13" s="19" t="n">
        <x:v>239028381.967</x:v>
      </x:c>
      <x:c r="E13" s="19" t="n">
        <x:v>13401114246.519</x:v>
      </x:c>
      <x:c r="F13" s="19" t="n">
        <x:f>B13/$B$7*100</x:f>
        <x:v>82.3197452480811</x:v>
      </x:c>
      <x:c r="G13" s="19" t="n">
        <x:f>C13/$C$7*100</x:f>
        <x:v>118.02168507559543</x:v>
      </x:c>
      <x:c r="H13" s="19" t="n">
        <x:f>D13/$D$7*100</x:f>
        <x:v>50.2892467538799</x:v>
      </x:c>
      <x:c r="I13" s="19" t="n">
        <x:f>E13/$E$7*100</x:f>
        <x:v>123.87079868081081</x:v>
      </x:c>
    </x:row>
    <x:row r="14" ht="22" customHeight="1">
      <x:c r="A14" s="18" t="n">
        <x:v>2024</x:v>
      </x:c>
      <x:c r="B14" s="19" t="n">
        <x:v>3035115133.019</x:v>
      </x:c>
      <x:c r="C14" s="19" t="n">
        <x:v>12899515010.305</x:v>
      </x:c>
      <x:c r="D14" s="19" t="n">
        <x:v>209322164.341</x:v>
      </x:c>
      <x:c r="E14" s="19" t="n">
        <x:v>14233996108.651</x:v>
      </x:c>
      <x:c r="F14" s="19" t="n">
        <x:f>B14/$B$7*100</x:f>
        <x:v>76.69147825462373</x:v>
      </x:c>
      <x:c r="G14" s="19" t="n">
        <x:f>C14/$C$7*100</x:f>
        <x:v>132.41673954237646</x:v>
      </x:c>
      <x:c r="H14" s="19" t="n">
        <x:f>D14/$D$7*100</x:f>
        <x:v>44.03934749076805</x:v>
      </x:c>
      <x:c r="I14" s="19" t="n">
        <x:f>E14/$E$7*100</x:f>
        <x:v>131.5693929597045</x:v>
      </x:c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6" customHeight="1">
      <x:c r="A17" s="8" t="str">
        <x:v>Республика Корея</x:v>
      </x:c>
      <x:c r="B17" s="2"/>
      <x:c r="C17" s="2"/>
      <x:c r="D17" s="2"/>
      <x:c r="E17" s="2"/>
      <x:c r="F17" s="2"/>
      <x:c r="G17" s="2"/>
      <x:c r="H17" s="2"/>
      <x:c r="I17" s="2"/>
    </x:row>
    <x:row r="18" ht="40" customHeight="1">
      <x:c r="A18" s="13" t="str">
        <x:v>Год</x:v>
      </x:c>
      <x:c r="B18" s="13" t="str">
        <x:v>854231, долл.</x:v>
      </x:c>
      <x:c r="C18" s="13" t="str">
        <x:v>854232, долл.</x:v>
      </x:c>
      <x:c r="D18" s="13" t="str">
        <x:v>854233, долл.</x:v>
      </x:c>
      <x:c r="E18" s="13" t="str">
        <x:v>854239, долл.</x:v>
      </x:c>
      <x:c r="F18" s="13" t="str">
        <x:v>Процессоры и контроллеры, индекс</x:v>
      </x:c>
      <x:c r="G18" s="13" t="str">
        <x:v>Память, индекс</x:v>
      </x:c>
      <x:c r="H18" s="13" t="str">
        <x:v>Усилители, индекс</x:v>
      </x:c>
      <x:c r="I18" s="13" t="str">
        <x:v>Прочие интегральные схемы, индекс</x:v>
      </x:c>
    </x:row>
    <x:row r="19" ht="22" customHeight="1">
      <x:c r="A19" s="18" t="n">
        <x:v>2017</x:v>
      </x:c>
      <x:c r="B19" s="19" t="n">
        <x:v>21359845572</x:v>
      </x:c>
      <x:c r="C19" s="19" t="n">
        <x:v>60506907883</x:v>
      </x:c>
      <x:c r="D19" s="19" t="n">
        <x:v>47036394</x:v>
      </x:c>
      <x:c r="E19" s="19" t="n">
        <x:v>3926164488</x:v>
      </x:c>
      <x:c r="F19" s="19" t="n">
        <x:f>B19/$B$19*100</x:f>
        <x:v>100</x:v>
      </x:c>
      <x:c r="G19" s="19" t="n">
        <x:f>C19/$C$19*100</x:f>
        <x:v>100</x:v>
      </x:c>
      <x:c r="H19" s="19" t="n">
        <x:f>D19/$D$19*100</x:f>
        <x:v>100</x:v>
      </x:c>
      <x:c r="I19" s="19" t="n">
        <x:f>E19/$E$19*100</x:f>
        <x:v>100</x:v>
      </x:c>
    </x:row>
    <x:row r="20" ht="22" customHeight="1">
      <x:c r="A20" s="18" t="n">
        <x:v>2018</x:v>
      </x:c>
      <x:c r="B20" s="19" t="n">
        <x:v>22095020467</x:v>
      </x:c>
      <x:c r="C20" s="19" t="n">
        <x:v>83048245976</x:v>
      </x:c>
      <x:c r="D20" s="19" t="n">
        <x:v>50734336</x:v>
      </x:c>
      <x:c r="E20" s="19" t="n">
        <x:v>4294405578</x:v>
      </x:c>
      <x:c r="F20" s="19" t="n">
        <x:f>B20/$B$19*100</x:f>
        <x:v>103.44185491660913</x:v>
      </x:c>
      <x:c r="G20" s="19" t="n">
        <x:f>C20/$C$19*100</x:f>
        <x:v>137.2541563958075</x:v>
      </x:c>
      <x:c r="H20" s="19" t="n">
        <x:f>D20/$D$19*100</x:f>
        <x:v>107.8618739353191</x:v>
      </x:c>
      <x:c r="I20" s="19" t="n">
        <x:f>E20/$E$19*100</x:f>
        <x:v>109.37915594533796</x:v>
      </x:c>
    </x:row>
    <x:row r="21" ht="22" customHeight="1">
      <x:c r="A21" s="18" t="n">
        <x:v>2019</x:v>
      </x:c>
      <x:c r="B21" s="19" t="n">
        <x:v>20677631144</x:v>
      </x:c>
      <x:c r="C21" s="19" t="n">
        <x:v>53161754430</x:v>
      </x:c>
      <x:c r="D21" s="19" t="n">
        <x:v>81687713</x:v>
      </x:c>
      <x:c r="E21" s="19" t="n">
        <x:v>4901265898</x:v>
      </x:c>
      <x:c r="F21" s="19" t="n">
        <x:f>B21/$B$19*100</x:f>
        <x:v>96.80608913720661</x:v>
      </x:c>
      <x:c r="G21" s="19" t="n">
        <x:f>C21/$C$19*100</x:f>
        <x:v>87.86063656202188</x:v>
      </x:c>
      <x:c r="H21" s="19" t="n">
        <x:f>D21/$D$19*100</x:f>
        <x:v>173.66916562523903</x:v>
      </x:c>
      <x:c r="I21" s="19" t="n">
        <x:f>E21/$E$19*100</x:f>
        <x:v>124.8359795668347</x:v>
      </x:c>
    </x:row>
    <x:row r="22" ht="22" customHeight="1">
      <x:c r="A22" s="18" t="n">
        <x:v>2020</x:v>
      </x:c>
      <x:c r="B22" s="19" t="n">
        <x:v>23516669861</x:v>
      </x:c>
      <x:c r="C22" s="19" t="n">
        <x:v>52358422298</x:v>
      </x:c>
      <x:c r="D22" s="19" t="n">
        <x:v>105706224</x:v>
      </x:c>
      <x:c r="E22" s="19" t="n">
        <x:v>6622734380</x:v>
      </x:c>
      <x:c r="F22" s="19" t="n">
        <x:f>B22/$B$19*100</x:f>
        <x:v>110.09756499282615</x:v>
      </x:c>
      <x:c r="G22" s="19" t="n">
        <x:f>C22/$C$19*100</x:f>
        <x:v>86.5329664494566</x:v>
      </x:c>
      <x:c r="H22" s="19" t="n">
        <x:f>D22/$D$19*100</x:f>
        <x:v>224.7328398516264</x:v>
      </x:c>
      <x:c r="I22" s="19" t="n">
        <x:f>E22/$E$19*100</x:f>
        <x:v>168.68204071026176</x:v>
      </x:c>
    </x:row>
    <x:row r="23" ht="22" customHeight="1">
      <x:c r="A23" s="18" t="n">
        <x:v>2021</x:v>
      </x:c>
      <x:c r="B23" s="19" t="n">
        <x:v>30405224004</x:v>
      </x:c>
      <x:c r="C23" s="19" t="n">
        <x:v>69177215461</x:v>
      </x:c>
      <x:c r="D23" s="19" t="n">
        <x:v>211038869</x:v>
      </x:c>
      <x:c r="E23" s="19" t="n">
        <x:v>9101918746</x:v>
      </x:c>
      <x:c r="F23" s="19" t="n">
        <x:f>B23/$B$19*100</x:f>
        <x:v>142.34758346688295</x:v>
      </x:c>
      <x:c r="G23" s="19" t="n">
        <x:f>C23/$C$19*100</x:f>
        <x:v>114.32945077075406</x:v>
      </x:c>
      <x:c r="H23" s="19" t="n">
        <x:f>D23/$D$19*100</x:f>
        <x:v>448.6714457745209</x:v>
      </x:c>
      <x:c r="I23" s="19" t="n">
        <x:f>E23/$E$19*100</x:f>
        <x:v>231.82723937876952</x:v>
      </x:c>
    </x:row>
    <x:row r="24" ht="22" customHeight="1">
      <x:c r="A24" s="18" t="n">
        <x:v>2022</x:v>
      </x:c>
      <x:c r="B24" s="19" t="n">
        <x:v>38402894055</x:v>
      </x:c>
      <x:c r="C24" s="19" t="n">
        <x:v>61777688705</x:v>
      </x:c>
      <x:c r="D24" s="19" t="n">
        <x:v>574391047</x:v>
      </x:c>
      <x:c r="E24" s="19" t="n">
        <x:v>11628361856</x:v>
      </x:c>
      <x:c r="F24" s="19" t="n">
        <x:f>B24/$B$19*100</x:f>
        <x:v>179.79012968774097</x:v>
      </x:c>
      <x:c r="G24" s="19" t="n">
        <x:f>C24/$C$19*100</x:f>
        <x:v>102.10022436522001</x:v>
      </x:c>
      <x:c r="H24" s="19" t="n">
        <x:f>D24/$D$19*100</x:f>
        <x:v>1221.1630147498126</x:v>
      </x:c>
      <x:c r="I24" s="19" t="n">
        <x:f>E24/$E$19*100</x:f>
        <x:v>296.1761253646182</x:v>
      </x:c>
    </x:row>
    <x:row r="25" ht="22" customHeight="1">
      <x:c r="A25" s="18" t="n">
        <x:v>2023</x:v>
      </x:c>
      <x:c r="B25" s="19" t="n">
        <x:v>31414482258</x:v>
      </x:c>
      <x:c r="C25" s="19" t="n">
        <x:v>42893817517</x:v>
      </x:c>
      <x:c r="D25" s="19" t="n">
        <x:v>303454450</x:v>
      </x:c>
      <x:c r="E25" s="19" t="n">
        <x:v>11175896537</x:v>
      </x:c>
      <x:c r="F25" s="19" t="n">
        <x:f>B25/$B$19*100</x:f>
        <x:v>147.07260945360173</x:v>
      </x:c>
      <x:c r="G25" s="19" t="n">
        <x:f>C25/$C$19*100</x:f>
        <x:v>70.89077762813828</x:v>
      </x:c>
      <x:c r="H25" s="19" t="n">
        <x:f>D25/$D$19*100</x:f>
        <x:v>645.1482016244697</x:v>
      </x:c>
      <x:c r="I25" s="19" t="n">
        <x:f>E25/$E$19*100</x:f>
        <x:v>284.6517656394227</x:v>
      </x:c>
    </x:row>
    <x:row r="26" ht="22" customHeight="1">
      <x:c r="A26" s="18" t="n">
        <x:v>2024</x:v>
      </x:c>
      <x:c r="B26" s="19" t="n">
        <x:v>35845619423</x:v>
      </x:c>
      <x:c r="C26" s="19" t="n">
        <x:v>72019703767</x:v>
      </x:c>
      <x:c r="D26" s="19" t="n">
        <x:v>227585476</x:v>
      </x:c>
      <x:c r="E26" s="19" t="n">
        <x:v>11727089635</x:v>
      </x:c>
      <x:c r="F26" s="19" t="n">
        <x:f>B26/$B$19*100</x:f>
        <x:v>167.8177836172607</x:v>
      </x:c>
      <x:c r="G26" s="19" t="n">
        <x:f>C26/$C$19*100</x:f>
        <x:v>119.02724215598965</x:v>
      </x:c>
      <x:c r="H26" s="19" t="n">
        <x:f>D26/$D$19*100</x:f>
        <x:v>483.8497525979564</x:v>
      </x:c>
      <x:c r="I26" s="19" t="n">
        <x:f>E26/$E$19*100</x:f>
        <x:v>298.690736744293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20" hidden="0" customWidth="1"/>
    <x:col min="5" max="5" width="28" hidden="0" customWidth="1"/>
  </x:cols>
  <x:sheetData>
    <x:row r="1" ht="8" customHeight="1">
      <x:c r="A1" s="2"/>
      <x:c r="B1" s="2"/>
      <x:c r="C1" s="2"/>
      <x:c r="D1" s="2"/>
      <x:c r="E1" s="2"/>
    </x:row>
    <x:row r="2" ht="29" customHeight="1">
      <x:c r="A2" s="4" t="str">
        <x:v>2.3 Товарная структура экспорта</x:v>
      </x:c>
      <x:c r="B2" s="5"/>
      <x:c r="C2" s="5"/>
      <x:c r="D2" s="5"/>
      <x:c r="E2" s="5"/>
    </x:row>
    <x:row r="3" ht="22" customHeight="1">
      <x:c r="A3" s="6" t="str">
        <x:v>Доли четырёх кодов в общей стоимости их экспорта. Каждая строка даёт 100%.</x:v>
      </x:c>
      <x:c r="B3" s="2"/>
      <x:c r="C3" s="2"/>
      <x:c r="D3" s="2"/>
      <x:c r="E3" s="2"/>
    </x:row>
    <x:row r="4" ht="22" customHeight="1">
      <x:c r="A4" s="7" t="str">
        <x:v>Источник: S01</x:v>
      </x:c>
      <x:c r="B4" s="2"/>
      <x:c r="C4" s="2"/>
      <x:c r="D4" s="2"/>
      <x:c r="E4" s="2"/>
    </x:row>
    <x:row r="5" ht="26" customHeight="1">
      <x:c r="A5" s="8" t="str">
        <x:v>Япония</x:v>
      </x:c>
      <x:c r="B5" s="2"/>
      <x:c r="C5" s="2"/>
      <x:c r="D5" s="2"/>
      <x:c r="E5" s="2"/>
    </x:row>
    <x:row r="6" ht="40" customHeight="1">
      <x:c r="A6" s="13" t="str">
        <x:v>Год</x:v>
      </x:c>
      <x:c r="B6" s="13" t="str">
        <x:v>Процессоры и контроллеры</x:v>
      </x:c>
      <x:c r="C6" s="13" t="str">
        <x:v>Память</x:v>
      </x:c>
      <x:c r="D6" s="13" t="str">
        <x:v>Усилители</x:v>
      </x:c>
      <x:c r="E6" s="13" t="str">
        <x:v>Прочие интегральные схемы</x:v>
      </x:c>
    </x:row>
    <x:row r="7" ht="22" customHeight="1">
      <x:c r="A7" s="18" t="n">
        <x:v>2017</x:v>
      </x:c>
      <x:c r="B7" s="22" t="n">
        <x:f>'2_02_Товарные_индексы'!B7/SUM('2_02_Товарные_индексы'!B7:E7)</x:f>
        <x:v>0.15834630986211545</x:v>
      </x:c>
      <x:c r="C7" s="22" t="n">
        <x:f>'2_02_Товарные_индексы'!C7/SUM('2_02_Товарные_индексы'!B7:E7)</x:f>
        <x:v>0.3897717669652887</x:v>
      </x:c>
      <x:c r="D7" s="22" t="n">
        <x:f>'2_02_Товарные_индексы'!D7/SUM('2_02_Товарные_индексы'!B7:E7)</x:f>
        <x:v>0.019017535114654135</x:v>
      </x:c>
      <x:c r="E7" s="22" t="n">
        <x:f>'2_02_Товарные_индексы'!E7/SUM('2_02_Товарные_индексы'!B7:E7)</x:f>
        <x:v>0.43286438805794186</x:v>
      </x:c>
    </x:row>
    <x:row r="8" ht="22" customHeight="1">
      <x:c r="A8" s="18" t="n">
        <x:v>2018</x:v>
      </x:c>
      <x:c r="B8" s="22" t="n">
        <x:f>'2_02_Товарные_индексы'!B8/SUM('2_02_Товарные_индексы'!B8:E8)</x:f>
        <x:v>0.1327476698834355</x:v>
      </x:c>
      <x:c r="C8" s="22" t="n">
        <x:f>'2_02_Товарные_индексы'!C8/SUM('2_02_Товарные_индексы'!B8:E8)</x:f>
        <x:v>0.44124980637225303</x:v>
      </x:c>
      <x:c r="D8" s="22" t="n">
        <x:f>'2_02_Товарные_индексы'!D8/SUM('2_02_Товарные_индексы'!B8:E8)</x:f>
        <x:v>0.015358810004071148</x:v>
      </x:c>
      <x:c r="E8" s="22" t="n">
        <x:f>'2_02_Товарные_индексы'!E8/SUM('2_02_Товарные_индексы'!B8:E8)</x:f>
        <x:v>0.41064371374024045</x:v>
      </x:c>
    </x:row>
    <x:row r="9" ht="22" customHeight="1">
      <x:c r="A9" s="18" t="n">
        <x:v>2019</x:v>
      </x:c>
      <x:c r="B9" s="22" t="n">
        <x:f>'2_02_Товарные_индексы'!B9/SUM('2_02_Товарные_индексы'!B9:E9)</x:f>
        <x:v>0.12046225263560874</x:v>
      </x:c>
      <x:c r="C9" s="22" t="n">
        <x:f>'2_02_Товарные_индексы'!C9/SUM('2_02_Товарные_индексы'!B9:E9)</x:f>
        <x:v>0.42485720458986714</x:v>
      </x:c>
      <x:c r="D9" s="22" t="n">
        <x:f>'2_02_Товарные_индексы'!D9/SUM('2_02_Товарные_индексы'!B9:E9)</x:f>
        <x:v>0.011790668766961158</x:v>
      </x:c>
      <x:c r="E9" s="22" t="n">
        <x:f>'2_02_Товарные_индексы'!E9/SUM('2_02_Товарные_индексы'!B9:E9)</x:f>
        <x:v>0.4428898740075629</x:v>
      </x:c>
    </x:row>
    <x:row r="10" ht="22" customHeight="1">
      <x:c r="A10" s="18" t="n">
        <x:v>2020</x:v>
      </x:c>
      <x:c r="B10" s="22" t="n">
        <x:f>'2_02_Товарные_индексы'!B10/SUM('2_02_Товарные_индексы'!B10:E10)</x:f>
        <x:v>0.10469397133712045</x:v>
      </x:c>
      <x:c r="C10" s="22" t="n">
        <x:f>'2_02_Товарные_индексы'!C10/SUM('2_02_Товарные_индексы'!B10:E10)</x:f>
        <x:v>0.46201589079479255</x:v>
      </x:c>
      <x:c r="D10" s="22" t="n">
        <x:f>'2_02_Товарные_индексы'!D10/SUM('2_02_Товарные_индексы'!B10:E10)</x:f>
        <x:v>0.01069010463845921</x:v>
      </x:c>
      <x:c r="E10" s="22" t="n">
        <x:f>'2_02_Товарные_индексы'!E10/SUM('2_02_Товарные_индексы'!B10:E10)</x:f>
        <x:v>0.42260003322962786</x:v>
      </x:c>
    </x:row>
    <x:row r="11" ht="22" customHeight="1">
      <x:c r="A11" s="18" t="n">
        <x:v>2021</x:v>
      </x:c>
      <x:c r="B11" s="22" t="n">
        <x:f>'2_02_Товарные_индексы'!B11/SUM('2_02_Товарные_индексы'!B11:E11)</x:f>
        <x:v>0.1100457569966766</x:v>
      </x:c>
      <x:c r="C11" s="22" t="n">
        <x:f>'2_02_Товарные_индексы'!C11/SUM('2_02_Товарные_индексы'!B11:E11)</x:f>
        <x:v>0.48190002882489874</x:v>
      </x:c>
      <x:c r="D11" s="22" t="n">
        <x:f>'2_02_Товарные_индексы'!D11/SUM('2_02_Товарные_индексы'!B11:E11)</x:f>
        <x:v>0.008975903245053554</x:v>
      </x:c>
      <x:c r="E11" s="22" t="n">
        <x:f>'2_02_Товарные_индексы'!E11/SUM('2_02_Товарные_индексы'!B11:E11)</x:f>
        <x:v>0.39907831093337104</x:v>
      </x:c>
    </x:row>
    <x:row r="12" ht="22" customHeight="1">
      <x:c r="A12" s="18" t="n">
        <x:v>2022</x:v>
      </x:c>
      <x:c r="B12" s="22" t="n">
        <x:f>'2_02_Товарные_индексы'!B12/SUM('2_02_Товарные_индексы'!B12:E12)</x:f>
        <x:v>0.11799603020048925</x:v>
      </x:c>
      <x:c r="C12" s="22" t="n">
        <x:f>'2_02_Товарные_индексы'!C12/SUM('2_02_Товарные_индексы'!B12:E12)</x:f>
        <x:v>0.4447442160906411</x:v>
      </x:c>
      <x:c r="D12" s="22" t="n">
        <x:f>'2_02_Товарные_индексы'!D12/SUM('2_02_Товарные_индексы'!B12:E12)</x:f>
        <x:v>0.00819869193436507</x:v>
      </x:c>
      <x:c r="E12" s="22" t="n">
        <x:f>'2_02_Товарные_индексы'!E12/SUM('2_02_Товарные_индексы'!B12:E12)</x:f>
        <x:v>0.42906106177450465</x:v>
      </x:c>
    </x:row>
    <x:row r="13" ht="22" customHeight="1">
      <x:c r="A13" s="18" t="n">
        <x:v>2023</x:v>
      </x:c>
      <x:c r="B13" s="22" t="n">
        <x:f>'2_02_Товарные_индексы'!B13/SUM('2_02_Товарные_индексы'!B13:E13)</x:f>
        <x:v>0.11473265872614405</x:v>
      </x:c>
      <x:c r="C13" s="22" t="n">
        <x:f>'2_02_Товарные_индексы'!C13/SUM('2_02_Товарные_индексы'!B13:E13)</x:f>
        <x:v>0.404899538693684</x:v>
      </x:c>
      <x:c r="D13" s="22" t="n">
        <x:f>'2_02_Товарные_индексы'!D13/SUM('2_02_Товарные_индексы'!B13:E13)</x:f>
        <x:v>0.00841791334058261</x:v>
      </x:c>
      <x:c r="E13" s="22" t="n">
        <x:f>'2_02_Товарные_индексы'!E13/SUM('2_02_Товарные_индексы'!B13:E13)</x:f>
        <x:v>0.47194988923958947</x:v>
      </x:c>
    </x:row>
    <x:row r="14" ht="22" customHeight="1">
      <x:c r="A14" s="18" t="n">
        <x:v>2024</x:v>
      </x:c>
      <x:c r="B14" s="22" t="n">
        <x:f>'2_02_Товарные_индексы'!B14/SUM('2_02_Товарные_индексы'!B14:E14)</x:f>
        <x:v>0.09991178770284695</x:v>
      </x:c>
      <x:c r="C14" s="22" t="n">
        <x:f>'2_02_Товарные_индексы'!C14/SUM('2_02_Товарные_индексы'!B14:E14)</x:f>
        <x:v>0.4246341732339195</x:v>
      </x:c>
      <x:c r="D14" s="22" t="n">
        <x:f>'2_02_Товарные_индексы'!D14/SUM('2_02_Товарные_индексы'!B14:E14)</x:f>
        <x:v>0.006890595818793774</x:v>
      </x:c>
      <x:c r="E14" s="22" t="n">
        <x:f>'2_02_Товарные_индексы'!E14/SUM('2_02_Товарные_индексы'!B14:E14)</x:f>
        <x:v>0.46856344324443966</x:v>
      </x:c>
    </x:row>
    <x:row r="15" ht="22" customHeight="1">
      <x:c r="A15" s="2"/>
      <x:c r="B15" s="2"/>
      <x:c r="C15" s="2"/>
      <x:c r="D15" s="2"/>
      <x:c r="E15" s="2"/>
    </x:row>
    <x:row r="16" ht="22" customHeight="1">
      <x:c r="A16" s="2"/>
      <x:c r="B16" s="2"/>
      <x:c r="C16" s="2"/>
      <x:c r="D16" s="2"/>
      <x:c r="E16" s="2"/>
    </x:row>
    <x:row r="17" ht="26" customHeight="1">
      <x:c r="A17" s="8" t="str">
        <x:v>Республика Корея</x:v>
      </x:c>
      <x:c r="B17" s="2"/>
      <x:c r="C17" s="2"/>
      <x:c r="D17" s="2"/>
      <x:c r="E17" s="2"/>
    </x:row>
    <x:row r="18" ht="40" customHeight="1">
      <x:c r="A18" s="13" t="str">
        <x:v>Год</x:v>
      </x:c>
      <x:c r="B18" s="13" t="str">
        <x:v>Процессоры и контроллеры</x:v>
      </x:c>
      <x:c r="C18" s="13" t="str">
        <x:v>Память</x:v>
      </x:c>
      <x:c r="D18" s="13" t="str">
        <x:v>Усилители</x:v>
      </x:c>
      <x:c r="E18" s="13" t="str">
        <x:v>Прочие интегральные схемы</x:v>
      </x:c>
    </x:row>
    <x:row r="19" ht="22" customHeight="1">
      <x:c r="A19" s="18" t="n">
        <x:v>2017</x:v>
      </x:c>
      <x:c r="B19" s="22" t="n">
        <x:f>'2_02_Товарные_индексы'!B19/SUM('2_02_Товарные_индексы'!B19:E19)</x:f>
        <x:v>0.24883337528516328</x:v>
      </x:c>
      <x:c r="C19" s="22" t="n">
        <x:f>'2_02_Товарные_индексы'!C19/SUM('2_02_Товарные_индексы'!B19:E19)</x:f>
        <x:v>0.7048804761178609</x:v>
      </x:c>
      <x:c r="D19" s="22" t="n">
        <x:f>'2_02_Товарные_индексы'!D19/SUM('2_02_Товарные_индексы'!B19:E19)</x:f>
        <x:v>0.0005479545552335608</x:v>
      </x:c>
      <x:c r="E19" s="22" t="n">
        <x:f>'2_02_Товарные_индексы'!E19/SUM('2_02_Товарные_индексы'!B19:E19)</x:f>
        <x:v>0.045738194041742244</x:v>
      </x:c>
    </x:row>
    <x:row r="20" ht="22" customHeight="1">
      <x:c r="A20" s="18" t="n">
        <x:v>2018</x:v>
      </x:c>
      <x:c r="B20" s="22" t="n">
        <x:f>'2_02_Товарные_индексы'!B20/SUM('2_02_Товарные_индексы'!B20:E20)</x:f>
        <x:v>0.2018023752666246</x:v>
      </x:c>
      <x:c r="C20" s="22" t="n">
        <x:f>'2_02_Товарные_индексы'!C20/SUM('2_02_Товарные_индексы'!B20:E20)</x:f>
        <x:v>0.758511779824535</x:v>
      </x:c>
      <x:c r="D20" s="22" t="n">
        <x:f>'2_02_Товарные_индексы'!D20/SUM('2_02_Товарные_индексы'!B20:E20)</x:f>
        <x:v>0.0004633763307740059</x:v>
      </x:c>
      <x:c r="E20" s="22" t="n">
        <x:f>'2_02_Товарные_индексы'!E20/SUM('2_02_Товарные_индексы'!B20:E20)</x:f>
        <x:v>0.03922246857806642</x:v>
      </x:c>
    </x:row>
    <x:row r="21" ht="22" customHeight="1">
      <x:c r="A21" s="18" t="n">
        <x:v>2019</x:v>
      </x:c>
      <x:c r="B21" s="22" t="n">
        <x:f>'2_02_Товарные_индексы'!B21/SUM('2_02_Товарные_индексы'!B21:E21)</x:f>
        <x:v>0.26233211749106505</x:v>
      </x:c>
      <x:c r="C21" s="22" t="n">
        <x:f>'2_02_Товарные_индексы'!C21/SUM('2_02_Товарные_индексы'!B21:E21)</x:f>
        <x:v>0.6744503522691288</x:v>
      </x:c>
      <x:c r="D21" s="22" t="n">
        <x:f>'2_02_Товарные_индексы'!D21/SUM('2_02_Товарные_индексы'!B21:E21)</x:f>
        <x:v>0.0010363523062703686</x:v>
      </x:c>
      <x:c r="E21" s="22" t="n">
        <x:f>'2_02_Товарные_индексы'!E21/SUM('2_02_Товарные_индексы'!B21:E21)</x:f>
        <x:v>0.06218117793353585</x:v>
      </x:c>
    </x:row>
    <x:row r="22" ht="22" customHeight="1">
      <x:c r="A22" s="18" t="n">
        <x:v>2020</x:v>
      </x:c>
      <x:c r="B22" s="22" t="n">
        <x:f>'2_02_Товарные_индексы'!B22/SUM('2_02_Товарные_индексы'!B22:E22)</x:f>
        <x:v>0.2846932700623387</x:v>
      </x:c>
      <x:c r="C22" s="22" t="n">
        <x:f>'2_02_Товарные_индексы'!C22/SUM('2_02_Товарные_индексы'!B22:E22)</x:f>
        <x:v>0.6338520950214436</x:v>
      </x:c>
      <x:c r="D22" s="22" t="n">
        <x:f>'2_02_Товарные_индексы'!D22/SUM('2_02_Товарные_индексы'!B22:E22)</x:f>
        <x:v>0.0012796816366593491</x:v>
      </x:c>
      <x:c r="E22" s="22" t="n">
        <x:f>'2_02_Товарные_индексы'!E22/SUM('2_02_Товарные_индексы'!B22:E22)</x:f>
        <x:v>0.08017495327955844</x:v>
      </x:c>
    </x:row>
    <x:row r="23" ht="22" customHeight="1">
      <x:c r="A23" s="18" t="n">
        <x:v>2021</x:v>
      </x:c>
      <x:c r="B23" s="22" t="n">
        <x:f>'2_02_Товарные_индексы'!B23/SUM('2_02_Товарные_индексы'!B23:E23)</x:f>
        <x:v>0.27921496058885575</x:v>
      </x:c>
      <x:c r="C23" s="22" t="n">
        <x:f>'2_02_Товарные_индексы'!C23/SUM('2_02_Товарные_индексы'!B23:E23)</x:f>
        <x:v>0.6352629892168808</x:v>
      </x:c>
      <x:c r="D23" s="22" t="n">
        <x:f>'2_02_Товарные_индексы'!D23/SUM('2_02_Товарные_индексы'!B23:E23)</x:f>
        <x:v>0.0019379962299504753</x:v>
      </x:c>
      <x:c r="E23" s="22" t="n">
        <x:f>'2_02_Товарные_индексы'!E23/SUM('2_02_Товарные_индексы'!B23:E23)</x:f>
        <x:v>0.08358405396431288</x:v>
      </x:c>
    </x:row>
    <x:row r="24" ht="22" customHeight="1">
      <x:c r="A24" s="18" t="n">
        <x:v>2022</x:v>
      </x:c>
      <x:c r="B24" s="22" t="n">
        <x:f>'2_02_Товарные_индексы'!B24/SUM('2_02_Товарные_индексы'!B24:E24)</x:f>
        <x:v>0.3417134206636954</x:v>
      </x:c>
      <x:c r="C24" s="22" t="n">
        <x:f>'2_02_Товарные_индексы'!C24/SUM('2_02_Товарные_индексы'!B24:E24)</x:f>
        <x:v>0.5497050638383845</x:v>
      </x:c>
      <x:c r="D24" s="22" t="n">
        <x:f>'2_02_Товарные_индексы'!D24/SUM('2_02_Товарные_индексы'!B24:E24)</x:f>
        <x:v>0.005110998384337038</x:v>
      </x:c>
      <x:c r="E24" s="22" t="n">
        <x:f>'2_02_Товарные_индексы'!E24/SUM('2_02_Товарные_индексы'!B24:E24)</x:f>
        <x:v>0.10347051711358314</x:v>
      </x:c>
    </x:row>
    <x:row r="25" ht="22" customHeight="1">
      <x:c r="A25" s="18" t="n">
        <x:v>2023</x:v>
      </x:c>
      <x:c r="B25" s="22" t="n">
        <x:f>'2_02_Товарные_индексы'!B25/SUM('2_02_Товарные_индексы'!B25:E25)</x:f>
        <x:v>0.3661888626039306</x:v>
      </x:c>
      <x:c r="C25" s="22" t="n">
        <x:f>'2_02_Товарные_индексы'!C25/SUM('2_02_Товарные_индексы'!B25:E25)</x:f>
        <x:v>0.4999999083317945</x:v>
      </x:c>
      <x:c r="D25" s="22" t="n">
        <x:f>'2_02_Товарные_индексы'!D25/SUM('2_02_Товарные_индексы'!B25:E25)</x:f>
        <x:v>0.0035372742732152824</x:v>
      </x:c>
      <x:c r="E25" s="22" t="n">
        <x:f>'2_02_Товарные_индексы'!E25/SUM('2_02_Товарные_индексы'!B25:E25)</x:f>
        <x:v>0.13027395479105963</x:v>
      </x:c>
    </x:row>
    <x:row r="26" ht="22" customHeight="1">
      <x:c r="A26" s="18" t="n">
        <x:v>2024</x:v>
      </x:c>
      <x:c r="B26" s="22" t="n">
        <x:f>'2_02_Товарные_индексы'!B26/SUM('2_02_Товарные_индексы'!B26:E26)</x:f>
        <x:v>0.29916224279149267</x:v>
      </x:c>
      <x:c r="C26" s="22" t="n">
        <x:f>'2_02_Товарные_индексы'!C26/SUM('2_02_Товарные_индексы'!B26:E26)</x:f>
        <x:v>0.6010658052763379</x:v>
      </x:c>
      <x:c r="D26" s="22" t="n">
        <x:f>'2_02_Товарные_индексы'!D26/SUM('2_02_Товарные_индексы'!B26:E26)</x:f>
        <x:v>0.0018993947523541286</x:v>
      </x:c>
      <x:c r="E26" s="22" t="n">
        <x:f>'2_02_Товарные_индексы'!E26/SUM('2_02_Товарные_индексы'!B26:E26)</x:f>
        <x:v>0.09787255717981534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24" hidden="0" customWidth="1"/>
    <x:col min="4" max="4" width="25" hidden="0" customWidth="1"/>
    <x:col min="5" max="5" width="25" hidden="0" customWidth="1"/>
    <x:col min="6" max="6" width="28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9" customHeight="1">
      <x:c r="A2" s="4" t="str">
        <x:v>2.4 Товарный вклад в прирост стоимости экспорта</x:v>
      </x:c>
      <x:c r="B2" s="5"/>
      <x:c r="C2" s="5"/>
      <x:c r="D2" s="5"/>
      <x:c r="E2" s="5"/>
      <x:c r="F2" s="5"/>
    </x:row>
    <x:row r="3" ht="22" customHeight="1">
      <x:c r="A3" s="6" t="str">
        <x:v>Разница 2024 и 2017 годов, млрд долл. Это изменение номинальной стоимости, а не разложение Шепли.</x:v>
      </x:c>
      <x:c r="B3" s="2"/>
      <x:c r="C3" s="2"/>
      <x:c r="D3" s="2"/>
      <x:c r="E3" s="2"/>
      <x:c r="F3" s="2"/>
    </x:row>
    <x:row r="4" ht="22" customHeight="1">
      <x:c r="A4" s="7" t="str">
        <x:v>Источник: S01</x:v>
      </x:c>
      <x:c r="B4" s="2"/>
      <x:c r="C4" s="2"/>
      <x:c r="D4" s="2"/>
      <x:c r="E4" s="2"/>
      <x:c r="F4" s="2"/>
    </x:row>
    <x:row r="5" ht="26" customHeight="1">
      <x:c r="A5" s="8" t="str">
        <x:v>Япония</x:v>
      </x:c>
      <x:c r="B5" s="2"/>
      <x:c r="C5" s="2"/>
      <x:c r="D5" s="2"/>
      <x:c r="E5" s="2"/>
      <x:c r="F5" s="2"/>
    </x:row>
    <x:row r="6" ht="40" customHeight="1">
      <x:c r="A6" s="13" t="str">
        <x:v>Элемент</x:v>
      </x:c>
      <x:c r="B6" s="13" t="str">
        <x:v>Роль столбца</x:v>
      </x:c>
      <x:c r="C6" s="13" t="str">
        <x:v>Величина, млрд долл.</x:v>
      </x:c>
      <x:c r="D6" s="13" t="str">
        <x:v>Товар 2017, долл.</x:v>
      </x:c>
      <x:c r="E6" s="13" t="str">
        <x:v>Товар 2024, долл.</x:v>
      </x:c>
      <x:c r="F6" s="13" t="str">
        <x:v>Накопленный итог, млрд долл.</x:v>
      </x:c>
    </x:row>
    <x:row r="7" ht="22" customHeight="1">
      <x:c r="A7" s="15" t="str">
        <x:v>Экспорт 2017</x:v>
      </x:c>
      <x:c r="B7" s="15" t="str">
        <x:v>Итог</x:v>
      </x:c>
      <x:c r="C7" s="19" t="n">
        <x:v>24.993099268882</x:v>
      </x:c>
      <x:c r="D7" s="21"/>
      <x:c r="E7" s="21"/>
      <x:c r="F7" s="19" t="n">
        <x:v>24.993099268882</x:v>
      </x:c>
    </x:row>
    <x:row r="8" ht="22" customHeight="1">
      <x:c r="A8" s="15" t="str">
        <x:v>Процессоры и контроллеры</x:v>
      </x:c>
      <x:c r="B8" s="15" t="str">
        <x:v>Изменение</x:v>
      </x:c>
      <x:c r="C8" s="19" t="n">
        <x:f>(E8-D8)/10^9</x:f>
        <x:v>-0.9224499082259998</x:v>
      </x:c>
      <x:c r="D8" s="19" t="n">
        <x:v>3957565041.245</x:v>
      </x:c>
      <x:c r="E8" s="19" t="n">
        <x:v>3035115133.019</x:v>
      </x:c>
      <x:c r="F8" s="19" t="n">
        <x:f>F7+C8</x:f>
        <x:v>24.070649360656</x:v>
      </x:c>
    </x:row>
    <x:row r="9" ht="22" customHeight="1">
      <x:c r="A9" s="15" t="str">
        <x:v>Память</x:v>
      </x:c>
      <x:c r="B9" s="15" t="str">
        <x:v>Изменение</x:v>
      </x:c>
      <x:c r="C9" s="19" t="n">
        <x:f>(E9-D9)/10^9</x:f>
        <x:v>3.1579105463339996</x:v>
      </x:c>
      <x:c r="D9" s="19" t="n">
        <x:v>9741604463.971</x:v>
      </x:c>
      <x:c r="E9" s="19" t="n">
        <x:v>12899515010.305</x:v>
      </x:c>
      <x:c r="F9" s="19" t="n">
        <x:f>F8+C9</x:f>
        <x:v>27.22855990699</x:v>
      </x:c>
    </x:row>
    <x:row r="10" ht="22" customHeight="1">
      <x:c r="A10" s="15" t="str">
        <x:v>Усилители</x:v>
      </x:c>
      <x:c r="B10" s="15" t="str">
        <x:v>Изменение</x:v>
      </x:c>
      <x:c r="C10" s="19" t="n">
        <x:f>(E10-D10)/10^9</x:f>
        <x:v>-0.265984978629</x:v>
      </x:c>
      <x:c r="D10" s="19" t="n">
        <x:v>475307142.96999997</x:v>
      </x:c>
      <x:c r="E10" s="19" t="n">
        <x:v>209322164.341</x:v>
      </x:c>
      <x:c r="F10" s="19" t="n">
        <x:f>F9+C10</x:f>
        <x:v>26.962574928361</x:v>
      </x:c>
    </x:row>
    <x:row r="11" ht="22" customHeight="1">
      <x:c r="A11" s="15" t="str">
        <x:v>Прочие интегральные схемы</x:v>
      </x:c>
      <x:c r="B11" s="15" t="str">
        <x:v>Изменение</x:v>
      </x:c>
      <x:c r="C11" s="19" t="n">
        <x:f>(E11-D11)/10^9</x:f>
        <x:v>3.4153734879549997</x:v>
      </x:c>
      <x:c r="D11" s="19" t="n">
        <x:v>10818622620.696</x:v>
      </x:c>
      <x:c r="E11" s="19" t="n">
        <x:v>14233996108.651</x:v>
      </x:c>
      <x:c r="F11" s="19" t="n">
        <x:f>F10+C11</x:f>
        <x:v>30.377948416316002</x:v>
      </x:c>
    </x:row>
    <x:row r="12" ht="22" customHeight="1">
      <x:c r="A12" s="15" t="str">
        <x:v>Экспорт 2024</x:v>
      </x:c>
      <x:c r="B12" s="15" t="str">
        <x:v>Итог</x:v>
      </x:c>
      <x:c r="C12" s="19" t="n">
        <x:v>30.377948416316002</x:v>
      </x:c>
      <x:c r="D12" s="21"/>
      <x:c r="E12" s="21"/>
      <x:c r="F12" s="19" t="n">
        <x:v>30.377948416316002</x:v>
      </x:c>
    </x:row>
    <x:row r="13" ht="22" customHeight="1">
      <x:c r="A13" s="2"/>
      <x:c r="B13" s="2"/>
      <x:c r="C13" s="2"/>
      <x:c r="D13" s="2"/>
      <x:c r="E13" s="2"/>
      <x:c r="F13" s="2"/>
    </x:row>
    <x:row r="14" ht="22" customHeight="1">
      <x:c r="A14" s="2"/>
      <x:c r="B14" s="2"/>
      <x:c r="C14" s="2"/>
      <x:c r="D14" s="2"/>
      <x:c r="E14" s="2"/>
      <x:c r="F14" s="2"/>
    </x:row>
    <x:row r="15" ht="26" customHeight="1">
      <x:c r="A15" s="8" t="str">
        <x:v>Республика Корея</x:v>
      </x:c>
      <x:c r="B15" s="2"/>
      <x:c r="C15" s="2"/>
      <x:c r="D15" s="2"/>
      <x:c r="E15" s="2"/>
      <x:c r="F15" s="2"/>
    </x:row>
    <x:row r="16" ht="40" customHeight="1">
      <x:c r="A16" s="13" t="str">
        <x:v>Элемент</x:v>
      </x:c>
      <x:c r="B16" s="13" t="str">
        <x:v>Роль столбца</x:v>
      </x:c>
      <x:c r="C16" s="13" t="str">
        <x:v>Величина, млрд долл.</x:v>
      </x:c>
      <x:c r="D16" s="13" t="str">
        <x:v>Товар 2017, долл.</x:v>
      </x:c>
      <x:c r="E16" s="13" t="str">
        <x:v>Товар 2024, долл.</x:v>
      </x:c>
      <x:c r="F16" s="13" t="str">
        <x:v>Накопленный итог, млрд долл.</x:v>
      </x:c>
    </x:row>
    <x:row r="17" ht="22" customHeight="1">
      <x:c r="A17" s="15" t="str">
        <x:v>Экспорт 2017</x:v>
      </x:c>
      <x:c r="B17" s="15" t="str">
        <x:v>Итог</x:v>
      </x:c>
      <x:c r="C17" s="19" t="n">
        <x:v>85.839954337</x:v>
      </x:c>
      <x:c r="D17" s="21"/>
      <x:c r="E17" s="21"/>
      <x:c r="F17" s="19" t="n">
        <x:v>85.839954337</x:v>
      </x:c>
    </x:row>
    <x:row r="18" ht="22" customHeight="1">
      <x:c r="A18" s="15" t="str">
        <x:v>Процессоры и контроллеры</x:v>
      </x:c>
      <x:c r="B18" s="15" t="str">
        <x:v>Изменение</x:v>
      </x:c>
      <x:c r="C18" s="19" t="n">
        <x:f>(E18-D18)/10^9</x:f>
        <x:v>14.485773851</x:v>
      </x:c>
      <x:c r="D18" s="19" t="n">
        <x:v>21359845572</x:v>
      </x:c>
      <x:c r="E18" s="19" t="n">
        <x:v>35845619423</x:v>
      </x:c>
      <x:c r="F18" s="19" t="n">
        <x:f>F17+C18</x:f>
        <x:v>100.325728188</x:v>
      </x:c>
    </x:row>
    <x:row r="19" ht="22" customHeight="1">
      <x:c r="A19" s="15" t="str">
        <x:v>Память</x:v>
      </x:c>
      <x:c r="B19" s="15" t="str">
        <x:v>Изменение</x:v>
      </x:c>
      <x:c r="C19" s="19" t="n">
        <x:f>(E19-D19)/10^9</x:f>
        <x:v>11.512795884</x:v>
      </x:c>
      <x:c r="D19" s="19" t="n">
        <x:v>60506907883</x:v>
      </x:c>
      <x:c r="E19" s="19" t="n">
        <x:v>72019703767</x:v>
      </x:c>
      <x:c r="F19" s="19" t="n">
        <x:f>F18+C19</x:f>
        <x:v>111.838524072</x:v>
      </x:c>
    </x:row>
    <x:row r="20" ht="22" customHeight="1">
      <x:c r="A20" s="15" t="str">
        <x:v>Усилители</x:v>
      </x:c>
      <x:c r="B20" s="15" t="str">
        <x:v>Изменение</x:v>
      </x:c>
      <x:c r="C20" s="19" t="n">
        <x:f>(E20-D20)/10^9</x:f>
        <x:v>0.180549082</x:v>
      </x:c>
      <x:c r="D20" s="19" t="n">
        <x:v>47036394</x:v>
      </x:c>
      <x:c r="E20" s="19" t="n">
        <x:v>227585476</x:v>
      </x:c>
      <x:c r="F20" s="19" t="n">
        <x:f>F19+C20</x:f>
        <x:v>112.019073154</x:v>
      </x:c>
    </x:row>
    <x:row r="21" ht="22" customHeight="1">
      <x:c r="A21" s="15" t="str">
        <x:v>Прочие интегральные схемы</x:v>
      </x:c>
      <x:c r="B21" s="15" t="str">
        <x:v>Изменение</x:v>
      </x:c>
      <x:c r="C21" s="19" t="n">
        <x:f>(E21-D21)/10^9</x:f>
        <x:v>7.800925147</x:v>
      </x:c>
      <x:c r="D21" s="19" t="n">
        <x:v>3926164488</x:v>
      </x:c>
      <x:c r="E21" s="19" t="n">
        <x:v>11727089635</x:v>
      </x:c>
      <x:c r="F21" s="19" t="n">
        <x:f>F20+C21</x:f>
        <x:v>119.819998301</x:v>
      </x:c>
    </x:row>
    <x:row r="22" ht="22" customHeight="1">
      <x:c r="A22" s="15" t="str">
        <x:v>Экспорт 2024</x:v>
      </x:c>
      <x:c r="B22" s="15" t="str">
        <x:v>Итог</x:v>
      </x:c>
      <x:c r="C22" s="19" t="n">
        <x:v>119.819998301</x:v>
      </x:c>
      <x:c r="D22" s="21"/>
      <x:c r="E22" s="21"/>
      <x:c r="F22" s="19" t="n">
        <x:v>119.819998301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25" hidden="0" customWidth="1"/>
    <x:col min="4" max="4" width="28" hidden="0" customWidth="1"/>
  </x:cols>
  <x:sheetData>
    <x:row r="1" ht="8" customHeight="1">
      <x:c r="A1" s="2"/>
      <x:c r="B1" s="2"/>
      <x:c r="C1" s="2"/>
      <x:c r="D1" s="2"/>
    </x:row>
    <x:row r="2" ht="29" customHeight="1">
      <x:c r="A2" s="4" t="str">
        <x:v>2.5 Товарная и географическая концентрация</x:v>
      </x:c>
      <x:c r="B2" s="5"/>
      <x:c r="C2" s="5"/>
      <x:c r="D2" s="5"/>
    </x:row>
    <x:row r="3" ht="44" customHeight="1">
      <x:c r="A3" s="6" t="str">
        <x:v>HHI от 0 до 1. Географический HHI рассчитан по всем отдельным партнёрам до
объединения в остаток.</x:v>
      </x:c>
      <x:c r="B3" s="2"/>
      <x:c r="C3" s="2"/>
      <x:c r="D3" s="2"/>
    </x:row>
    <x:row r="4" ht="22" customHeight="1">
      <x:c r="A4" s="7" t="str">
        <x:v>Источник: S05</x:v>
      </x:c>
      <x:c r="B4" s="2"/>
      <x:c r="C4" s="2"/>
      <x:c r="D4" s="2"/>
    </x:row>
    <x:row r="5" ht="26" customHeight="1">
      <x:c r="A5" s="8" t="str">
        <x:v>Годовые показатели</x:v>
      </x:c>
      <x:c r="B5" s="2"/>
      <x:c r="C5" s="2"/>
      <x:c r="D5" s="2"/>
    </x:row>
    <x:row r="6" ht="36" customHeight="1">
      <x:c r="A6" s="13" t="str">
        <x:v>Страна</x:v>
      </x:c>
      <x:c r="B6" s="13" t="str">
        <x:v>Год</x:v>
      </x:c>
      <x:c r="C6" s="13" t="str">
        <x:v>Товарный HHI</x:v>
      </x:c>
      <x:c r="D6" s="13" t="str">
        <x:v>Географический HHI</x:v>
      </x:c>
    </x:row>
    <x:row r="7" ht="22" customHeight="1">
      <x:c r="A7" s="15" t="str">
        <x:v>Япония</x:v>
      </x:c>
      <x:c r="B7" s="18" t="n">
        <x:v>2017</x:v>
      </x:c>
      <x:c r="C7" s="23" t="n">
        <x:v>0.3647288292608059</x:v>
      </x:c>
      <x:c r="D7" s="23" t="n">
        <x:v>0.1586574581961702</x:v>
      </x:c>
    </x:row>
    <x:row r="8" ht="22" customHeight="1">
      <x:c r="A8" s="15" t="str">
        <x:v>Япония</x:v>
      </x:c>
      <x:c r="B8" s="18" t="n">
        <x:v>2018</x:v>
      </x:c>
      <x:c r="C8" s="23" t="n">
        <x:v>0.38118748816215</x:v>
      </x:c>
      <x:c r="D8" s="23" t="n">
        <x:v>0.1632756294504434</x:v>
      </x:c>
    </x:row>
    <x:row r="9" ht="22" customHeight="1">
      <x:c r="A9" s="15" t="str">
        <x:v>Япония</x:v>
      </x:c>
      <x:c r="B9" s="18" t="n">
        <x:v>2019</x:v>
      </x:c>
      <x:c r="C9" s="23" t="n">
        <x:v>0.3913052589703686</x:v>
      </x:c>
      <x:c r="D9" s="23" t="n">
        <x:v>0.1640934163952262</x:v>
      </x:c>
    </x:row>
    <x:row r="10" ht="22" customHeight="1">
      <x:c r="A10" s="15" t="str">
        <x:v>Япония</x:v>
      </x:c>
      <x:c r="B10" s="18" t="n">
        <x:v>2020</x:v>
      </x:c>
      <x:c r="C10" s="23" t="n">
        <x:v>0.4031245774041072</x:v>
      </x:c>
      <x:c r="D10" s="23" t="n">
        <x:v>0.1624351933501488</x:v>
      </x:c>
    </x:row>
    <x:row r="11" ht="22" customHeight="1">
      <x:c r="A11" s="15" t="str">
        <x:v>Япония</x:v>
      </x:c>
      <x:c r="B11" s="18" t="n">
        <x:v>2021</x:v>
      </x:c>
      <x:c r="C11" s="23" t="n">
        <x:v>0.4036817715109068</x:v>
      </x:c>
      <x:c r="D11" s="23" t="n">
        <x:v>0.1744619325383845</x:v>
      </x:c>
    </x:row>
    <x:row r="12" ht="22" customHeight="1">
      <x:c r="A12" s="15" t="str">
        <x:v>Япония</x:v>
      </x:c>
      <x:c r="B12" s="18" t="n">
        <x:v>2022</x:v>
      </x:c>
      <x:c r="C12" s="23" t="n">
        <x:v>0.3958810941696535</x:v>
      </x:c>
      <x:c r="D12" s="23" t="n">
        <x:v>0.1650521646860642</x:v>
      </x:c>
    </x:row>
    <x:row r="13" ht="22" customHeight="1">
      <x:c r="A13" s="15" t="str">
        <x:v>Япония</x:v>
      </x:c>
      <x:c r="B13" s="18" t="n">
        <x:v>2023</x:v>
      </x:c>
      <x:c r="C13" s="23" t="n">
        <x:v>0.3999147786309982</x:v>
      </x:c>
      <x:c r="D13" s="23" t="n">
        <x:v>0.1463186496584216</x:v>
      </x:c>
    </x:row>
    <x:row r="14" ht="22" customHeight="1">
      <x:c r="A14" s="15" t="str">
        <x:v>Япония</x:v>
      </x:c>
      <x:c r="B14" s="18" t="n">
        <x:v>2024</x:v>
      </x:c>
      <x:c r="C14" s="23" t="n">
        <x:v>0.4098957270558563</x:v>
      </x:c>
      <x:c r="D14" s="23" t="n">
        <x:v>0.154100640035791</x:v>
      </x:c>
    </x:row>
    <x:row r="15" ht="22" customHeight="1">
      <x:c r="A15" s="15" t="str">
        <x:v>Республика Корея</x:v>
      </x:c>
      <x:c r="B15" s="18" t="n">
        <x:v>2017</x:v>
      </x:c>
      <x:c r="C15" s="23" t="n">
        <x:v>0.5608668169163438</x:v>
      </x:c>
      <x:c r="D15" s="23" t="n">
        <x:v>0.2705389337952875</x:v>
      </x:c>
    </x:row>
    <x:row r="16" ht="22" customHeight="1">
      <x:c r="A16" s="15" t="str">
        <x:v>Республика Корея</x:v>
      </x:c>
      <x:c r="B16" s="18" t="n">
        <x:v>2018</x:v>
      </x:c>
      <x:c r="C16" s="23" t="n">
        <x:v>0.6176029355548167</x:v>
      </x:c>
      <x:c r="D16" s="23" t="n">
        <x:v>0.2761061338413181</x:v>
      </x:c>
    </x:row>
    <x:row r="17" ht="22" customHeight="1">
      <x:c r="A17" s="15" t="str">
        <x:v>Республика Корея</x:v>
      </x:c>
      <x:c r="B17" s="18" t="n">
        <x:v>2019</x:v>
      </x:c>
      <x:c r="C17" s="23" t="n">
        <x:v>0.5275689904586026</x:v>
      </x:c>
      <x:c r="D17" s="23" t="n">
        <x:v>0.2596258240559131</x:v>
      </x:c>
    </x:row>
    <x:row r="18" ht="22" customHeight="1">
      <x:c r="A18" s="15" t="str">
        <x:v>Республика Корея</x:v>
      </x:c>
      <x:c r="B18" s="18" t="n">
        <x:v>2020</x:v>
      </x:c>
      <x:c r="C18" s="23" t="n">
        <x:v>0.4892483971003313</x:v>
      </x:c>
      <x:c r="D18" s="23" t="n">
        <x:v>0.2651519267398557</x:v>
      </x:c>
    </x:row>
    <x:row r="19" ht="22" customHeight="1">
      <x:c r="A19" s="15" t="str">
        <x:v>Республика Корея</x:v>
      </x:c>
      <x:c r="B19" s="18" t="n">
        <x:v>2021</x:v>
      </x:c>
      <x:c r="C19" s="23" t="n">
        <x:v>0.4885101095918995</x:v>
      </x:c>
      <x:c r="D19" s="23" t="n">
        <x:v>0.2553578611229345</x:v>
      </x:c>
    </x:row>
    <x:row r="20" ht="22" customHeight="1">
      <x:c r="A20" s="15" t="str">
        <x:v>Республика Корея</x:v>
      </x:c>
      <x:c r="B20" s="18" t="n">
        <x:v>2022</x:v>
      </x:c>
      <x:c r="C20" s="23" t="n">
        <x:v>0.4296759892874829</x:v>
      </x:c>
      <x:c r="D20" s="23" t="n">
        <x:v>0.2452916295045674</x:v>
      </x:c>
    </x:row>
    <x:row r="21" ht="22" customHeight="1">
      <x:c r="A21" s="15" t="str">
        <x:v>Республика Корея</x:v>
      </x:c>
      <x:c r="B21" s="18" t="n">
        <x:v>2023</x:v>
      </x:c>
      <x:c r="C21" s="23" t="n">
        <x:v>0.4010780070331502</x:v>
      </x:c>
      <x:c r="D21" s="23" t="n">
        <x:v>0.2198573938685114</x:v>
      </x:c>
    </x:row>
    <x:row r="22" ht="22" customHeight="1">
      <x:c r="A22" s="15" t="str">
        <x:v>Республика Корея</x:v>
      </x:c>
      <x:c r="B22" s="18" t="n">
        <x:v>2024</x:v>
      </x:c>
      <x:c r="C22" s="23" t="n">
        <x:v>0.4603607949338701</x:v>
      </x:c>
      <x:c r="D22" s="23" t="n">
        <x:v>0.2124866079497827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3" hidden="0" customWidth="1"/>
    <x:col min="2" max="2" width="12" hidden="0" customWidth="1"/>
    <x:col min="3" max="3" width="18" hidden="0" customWidth="1"/>
    <x:col min="4" max="4" width="18" hidden="0" customWidth="1"/>
    <x:col min="5" max="5" width="22" hidden="0" customWidth="1"/>
    <x:col min="6" max="6" width="25" hidden="0" customWidth="1"/>
    <x:col min="7" max="7" width="25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</x:row>
    <x:row r="2" ht="29" customHeight="1">
      <x:c r="A2" s="4" t="str">
        <x:v>2.6 Изменение долей направлений экспорта</x:v>
      </x:c>
      <x:c r="B2" s="5"/>
      <x:c r="C2" s="5"/>
      <x:c r="D2" s="5"/>
      <x:c r="E2" s="5"/>
      <x:c r="F2" s="5"/>
      <x:c r="G2" s="5"/>
    </x:row>
    <x:row r="3" ht="22" customHeight="1">
      <x:c r="A3" s="6" t="str">
        <x:v>Восемь отдельных направлений и остаток. Код 490 сохранён как Other Asia, nes.</x:v>
      </x:c>
      <x:c r="B3" s="2"/>
      <x:c r="C3" s="2"/>
      <x:c r="D3" s="2"/>
      <x:c r="E3" s="2"/>
      <x:c r="F3" s="2"/>
      <x:c r="G3" s="2"/>
    </x:row>
    <x:row r="4" ht="22" customHeight="1">
      <x:c r="A4" s="7" t="str">
        <x:v>Источник: S01</x:v>
      </x:c>
      <x:c r="B4" s="2"/>
      <x:c r="C4" s="2"/>
      <x:c r="D4" s="2"/>
      <x:c r="E4" s="2"/>
      <x:c r="F4" s="2"/>
      <x:c r="G4" s="2"/>
    </x:row>
    <x:row r="5" ht="26" customHeight="1">
      <x:c r="A5" s="8" t="str">
        <x:v>Япония</x:v>
      </x:c>
      <x:c r="B5" s="2"/>
      <x:c r="C5" s="2"/>
      <x:c r="D5" s="2"/>
      <x:c r="E5" s="2"/>
      <x:c r="F5" s="2"/>
      <x:c r="G5" s="2"/>
    </x:row>
    <x:row r="6" ht="36" customHeight="1">
      <x:c r="A6" s="13" t="str">
        <x:v>Направление</x:v>
      </x:c>
      <x:c r="B6" s="13" t="str">
        <x:v>Код</x:v>
      </x:c>
      <x:c r="C6" s="13" t="str">
        <x:v>Доля 2017</x:v>
      </x:c>
      <x:c r="D6" s="13" t="str">
        <x:v>Доля 2024</x:v>
      </x:c>
      <x:c r="E6" s="13" t="str">
        <x:v>Изменение, п.п.</x:v>
      </x:c>
      <x:c r="F6" s="13" t="str">
        <x:v>Экспорт 2017, долл.</x:v>
      </x:c>
      <x:c r="G6" s="13" t="str">
        <x:v>Экспорт 2024, долл.</x:v>
      </x:c>
    </x:row>
    <x:row r="7" ht="22" customHeight="1">
      <x:c r="A7" s="15" t="str">
        <x:v>Китай</x:v>
      </x:c>
      <x:c r="B7" s="15" t="str">
        <x:v>156</x:v>
      </x:c>
      <x:c r="C7" s="22" t="n">
        <x:v>0.2694023335060835</x:v>
      </x:c>
      <x:c r="D7" s="22" t="n">
        <x:v>0.20672422952519362</x:v>
      </x:c>
      <x:c r="E7" s="19" t="n">
        <x:f>(D7-C7)*100</x:f>
        <x:v>-6.267810398088988</x:v>
      </x:c>
      <x:c r="F7" s="19" t="n">
        <x:v>6733199264.586</x:v>
      </x:c>
      <x:c r="G7" s="19" t="n">
        <x:v>6279857980.919</x:v>
      </x:c>
    </x:row>
    <x:row r="8" ht="22" customHeight="1">
      <x:c r="A8" s="15" t="str">
        <x:v>Гонконг</x:v>
      </x:c>
      <x:c r="B8" s="15" t="str">
        <x:v>344</x:v>
      </x:c>
      <x:c r="C8" s="22" t="n">
        <x:v>0.15845292378383571</x:v>
      </x:c>
      <x:c r="D8" s="22" t="n">
        <x:v>0.16618641988454702</x:v>
      </x:c>
      <x:c r="E8" s="19" t="n">
        <x:f>(D8-C8)*100</x:f>
        <x:v>0.7733496100711307</x:v>
      </x:c>
      <x:c r="F8" s="19" t="n">
        <x:v>3960229653.574</x:v>
      </x:c>
      <x:c r="G8" s="19" t="n">
        <x:v>5048402490.745</x:v>
      </x:c>
    </x:row>
    <x:row r="9" ht="22" customHeight="1">
      <x:c r="A9" s="15" t="str">
        <x:v>Прочая Азия, н.в.д. (490)</x:v>
      </x:c>
      <x:c r="B9" s="15" t="str">
        <x:v>490</x:v>
      </x:c>
      <x:c r="C9" s="22" t="n">
        <x:v>0.20480780614340255</x:v>
      </x:c>
      <x:c r="D9" s="22" t="n">
        <x:v>0.24181256192454348</x:v>
      </x:c>
      <x:c r="E9" s="19" t="n">
        <x:f>(D9-C9)*100</x:f>
        <x:v>3.700475578114093</x:v>
      </x:c>
      <x:c r="F9" s="19" t="n">
        <x:v>5118781829.984</x:v>
      </x:c>
      <x:c r="G9" s="19" t="n">
        <x:v>7345769532.561</x:v>
      </x:c>
    </x:row>
    <x:row r="10" ht="22" customHeight="1">
      <x:c r="A10" s="15" t="str">
        <x:v>Вьетнам</x:v>
      </x:c>
      <x:c r="B10" s="15" t="str">
        <x:v>704</x:v>
      </x:c>
      <x:c r="C10" s="22" t="n">
        <x:v>0.03957111527242137</x:v>
      </x:c>
      <x:c r="D10" s="22" t="n">
        <x:v>0.07685269032829325</x:v>
      </x:c>
      <x:c r="E10" s="19" t="n">
        <x:f>(D10-C10)*100</x:f>
        <x:v>3.728157505587189</x:v>
      </x:c>
      <x:c r="F10" s="19" t="n">
        <x:v>989004812.184</x:v>
      </x:c>
      <x:c r="G10" s="19" t="n">
        <x:v>2334627062.448</x:v>
      </x:c>
    </x:row>
    <x:row r="11" ht="22" customHeight="1">
      <x:c r="A11" s="15" t="str">
        <x:v>Сингапур</x:v>
      </x:c>
      <x:c r="B11" s="15" t="str">
        <x:v>702</x:v>
      </x:c>
      <x:c r="C11" s="22" t="n">
        <x:v>0.04350800958210422</x:v>
      </x:c>
      <x:c r="D11" s="22" t="n">
        <x:v>0.026249719333340818</x:v>
      </x:c>
      <x:c r="E11" s="19" t="n">
        <x:f>(D11-C11)*100</x:f>
        <x:v>-1.7258290248763402</x:v>
      </x:c>
      <x:c r="F11" s="19" t="n">
        <x:v>1087400002.477</x:v>
      </x:c>
      <x:c r="G11" s="19" t="n">
        <x:v>797412619.8510001</x:v>
      </x:c>
    </x:row>
    <x:row r="12" ht="22" customHeight="1">
      <x:c r="A12" s="15" t="str">
        <x:v>Филиппины</x:v>
      </x:c>
      <x:c r="B12" s="15" t="str">
        <x:v>608</x:v>
      </x:c>
      <x:c r="C12" s="22" t="n">
        <x:v>0.02206978094600566</x:v>
      </x:c>
      <x:c r="D12" s="22" t="n">
        <x:v>0.02184485771674362</x:v>
      </x:c>
      <x:c r="E12" s="19" t="n">
        <x:f>(D12-C12)*100</x:f>
        <x:v>-0.02249232292620383</x:v>
      </x:c>
      <x:c r="F12" s="19" t="n">
        <x:v>551592226.026</x:v>
      </x:c>
      <x:c r="G12" s="19" t="n">
        <x:v>663601960.881</x:v>
      </x:c>
    </x:row>
    <x:row r="13" ht="22" customHeight="1">
      <x:c r="A13" s="15" t="str">
        <x:v>США</x:v>
      </x:c>
      <x:c r="B13" s="15" t="str">
        <x:v>842</x:v>
      </x:c>
      <x:c r="C13" s="22" t="n">
        <x:v>0.04520990762269496</x:v>
      </x:c>
      <x:c r="D13" s="22" t="n">
        <x:v>0.02771191979264315</x:v>
      </x:c>
      <x:c r="E13" s="19" t="n">
        <x:f>(D13-C13)*100</x:f>
        <x:v>-1.7497987830051809</x:v>
      </x:c>
      <x:c r="F13" s="19" t="n">
        <x:v>1129935709.151</x:v>
      </x:c>
      <x:c r="G13" s="19" t="n">
        <x:v>841831269.978</x:v>
      </x:c>
    </x:row>
    <x:row r="14" ht="22" customHeight="1">
      <x:c r="A14" s="15" t="str">
        <x:v>Таиланд</x:v>
      </x:c>
      <x:c r="B14" s="15" t="str">
        <x:v>764</x:v>
      </x:c>
      <x:c r="C14" s="22" t="n">
        <x:v>0.04529769650571403</x:v>
      </x:c>
      <x:c r="D14" s="22" t="n">
        <x:v>0.03994869186831581</x:v>
      </x:c>
      <x:c r="E14" s="19" t="n">
        <x:f>(D14-C14)*100</x:f>
        <x:v>-0.5349004637398223</x:v>
      </x:c>
      <x:c r="F14" s="19" t="n">
        <x:v>1132129825.419</x:v>
      </x:c>
      <x:c r="G14" s="19" t="n">
        <x:v>1213559300.875</x:v>
      </x:c>
    </x:row>
    <x:row r="15" ht="22" customHeight="1">
      <x:c r="A15" s="15" t="str">
        <x:v>Остальные направления</x:v>
      </x:c>
      <x:c r="B15" s="15" t="str">
        <x:v>-1</x:v>
      </x:c>
      <x:c r="C15" s="22" t="n">
        <x:v>0.171680426637738</x:v>
      </x:c>
      <x:c r="D15" s="22" t="n">
        <x:v>0.1926689096263793</x:v>
      </x:c>
      <x:c r="E15" s="19" t="n">
        <x:f>(D15-C15)*100</x:f>
        <x:v>2.098848298864131</x:v>
      </x:c>
      <x:c r="F15" s="19" t="n">
        <x:v>4290825945.481</x:v>
      </x:c>
      <x:c r="G15" s="19" t="n">
        <x:v>5852886198.058</x:v>
      </x:c>
    </x:row>
    <x:row r="16" ht="22" customHeight="1">
      <x:c r="A16" s="2"/>
      <x:c r="B16" s="2"/>
      <x:c r="C16" s="2"/>
      <x:c r="D16" s="2"/>
      <x:c r="E16" s="2"/>
      <x:c r="F16" s="2"/>
      <x:c r="G16" s="2"/>
    </x:row>
    <x:row r="17" ht="22" customHeight="1">
      <x:c r="A17" s="2"/>
      <x:c r="B17" s="2"/>
      <x:c r="C17" s="2"/>
      <x:c r="D17" s="2"/>
      <x:c r="E17" s="2"/>
      <x:c r="F17" s="2"/>
      <x:c r="G17" s="2"/>
    </x:row>
    <x:row r="18" ht="26" customHeight="1">
      <x:c r="A18" s="8" t="str">
        <x:v>Республика Корея</x:v>
      </x:c>
      <x:c r="B18" s="2"/>
      <x:c r="C18" s="2"/>
      <x:c r="D18" s="2"/>
      <x:c r="E18" s="2"/>
      <x:c r="F18" s="2"/>
      <x:c r="G18" s="2"/>
    </x:row>
    <x:row r="19" ht="36" customHeight="1">
      <x:c r="A19" s="13" t="str">
        <x:v>Направление</x:v>
      </x:c>
      <x:c r="B19" s="13" t="str">
        <x:v>Код</x:v>
      </x:c>
      <x:c r="C19" s="13" t="str">
        <x:v>Доля 2017</x:v>
      </x:c>
      <x:c r="D19" s="13" t="str">
        <x:v>Доля 2024</x:v>
      </x:c>
      <x:c r="E19" s="13" t="str">
        <x:v>Изменение, п.п.</x:v>
      </x:c>
      <x:c r="F19" s="13" t="str">
        <x:v>Экспорт 2017, долл.</x:v>
      </x:c>
      <x:c r="G19" s="13" t="str">
        <x:v>Экспорт 2024, долл.</x:v>
      </x:c>
    </x:row>
    <x:row r="20" ht="22" customHeight="1">
      <x:c r="A20" s="15" t="str">
        <x:v>Китай</x:v>
      </x:c>
      <x:c r="B20" s="15" t="str">
        <x:v>156</x:v>
      </x:c>
      <x:c r="C20" s="22" t="n">
        <x:v>0.40900636291306564</x:v>
      </x:c>
      <x:c r="D20" s="22" t="n">
        <x:v>0.35192198041157946</x:v>
      </x:c>
      <x:c r="E20" s="19" t="n">
        <x:f>(D20-C20)*100</x:f>
        <x:v>-5.7084382501486175</x:v>
      </x:c>
      <x:c r="F20" s="19" t="n">
        <x:v>35109087516</x:v>
      </x:c>
      <x:c r="G20" s="19" t="n">
        <x:v>42167291095</x:v>
      </x:c>
    </x:row>
    <x:row r="21" ht="22" customHeight="1">
      <x:c r="A21" s="15" t="str">
        <x:v>Гонконг</x:v>
      </x:c>
      <x:c r="B21" s="15" t="str">
        <x:v>344</x:v>
      </x:c>
      <x:c r="C21" s="22" t="n">
        <x:v>0.29492908511587623</x:v>
      </x:c>
      <x:c r="D21" s="22" t="n">
        <x:v>0.19448654629805243</x:v>
      </x:c>
      <x:c r="E21" s="19" t="n">
        <x:f>(D21-C21)*100</x:f>
        <x:v>-10.04425388178238</x:v>
      </x:c>
      <x:c r="F21" s="19" t="n">
        <x:v>25316699199</x:v>
      </x:c>
      <x:c r="G21" s="19" t="n">
        <x:v>23303377647</x:v>
      </x:c>
    </x:row>
    <x:row r="22" ht="22" customHeight="1">
      <x:c r="A22" s="15" t="str">
        <x:v>Прочая Азия, н.в.д. (490)</x:v>
      </x:c>
      <x:c r="B22" s="15" t="str">
        <x:v>490</x:v>
      </x:c>
      <x:c r="C22" s="22" t="n">
        <x:v>0.04657308096070126</x:v>
      </x:c>
      <x:c r="D22" s="22" t="n">
        <x:v>0.17099119858549527</x:v>
      </x:c>
      <x:c r="E22" s="19" t="n">
        <x:f>(D22-C22)*100</x:f>
        <x:v>12.441811762479402</x:v>
      </x:c>
      <x:c r="F22" s="19" t="n">
        <x:v>3997831143</x:v>
      </x:c>
      <x:c r="G22" s="19" t="n">
        <x:v>20488165124</x:v>
      </x:c>
    </x:row>
    <x:row r="23" ht="22" customHeight="1">
      <x:c r="A23" s="15" t="str">
        <x:v>Вьетнам</x:v>
      </x:c>
      <x:c r="B23" s="15" t="str">
        <x:v>704</x:v>
      </x:c>
      <x:c r="C23" s="22" t="n">
        <x:v>0.10065083129099381</x:v>
      </x:c>
      <x:c r="D23" s="22" t="n">
        <x:v>0.13835594025260176</x:v>
      </x:c>
      <x:c r="E23" s="19" t="n">
        <x:f>(D23-C23)*100</x:f>
        <x:v>3.7705108961607947</x:v>
      </x:c>
      <x:c r="F23" s="19" t="n">
        <x:v>8639862762</x:v>
      </x:c>
      <x:c r="G23" s="19" t="n">
        <x:v>16577808526</x:v>
      </x:c>
    </x:row>
    <x:row r="24" ht="22" customHeight="1">
      <x:c r="A24" s="15" t="str">
        <x:v>Сингапур</x:v>
      </x:c>
      <x:c r="B24" s="15" t="str">
        <x:v>702</x:v>
      </x:c>
      <x:c r="C24" s="22" t="n">
        <x:v>0.03366734067278398</x:v>
      </x:c>
      <x:c r="D24" s="22" t="n">
        <x:v>0.03151056043679221</x:v>
      </x:c>
      <x:c r="E24" s="19" t="n">
        <x:f>(D24-C24)*100</x:f>
        <x:v>-0.21567802359917648</x:v>
      </x:c>
      <x:c r="F24" s="19" t="n">
        <x:v>2890002986</x:v>
      </x:c>
      <x:c r="G24" s="19" t="n">
        <x:v>3775595298</x:v>
      </x:c>
    </x:row>
    <x:row r="25" ht="22" customHeight="1">
      <x:c r="A25" s="15" t="str">
        <x:v>Филиппины</x:v>
      </x:c>
      <x:c r="B25" s="15" t="str">
        <x:v>608</x:v>
      </x:c>
      <x:c r="C25" s="22" t="n">
        <x:v>0.048107214395616625</x:v>
      </x:c>
      <x:c r="D25" s="22" t="n">
        <x:v>0.014883330064152711</x:v>
      </x:c>
      <x:c r="E25" s="19" t="n">
        <x:f>(D25-C25)*100</x:f>
        <x:v>-3.3223884331463913</x:v>
      </x:c>
      <x:c r="F25" s="19" t="n">
        <x:v>4129521087</x:v>
      </x:c>
      <x:c r="G25" s="19" t="n">
        <x:v>1783320583</x:v>
      </x:c>
    </x:row>
    <x:row r="26" ht="22" customHeight="1">
      <x:c r="A26" s="15" t="str">
        <x:v>США</x:v>
      </x:c>
      <x:c r="B26" s="15" t="str">
        <x:v>842</x:v>
      </x:c>
      <x:c r="C26" s="22" t="n">
        <x:v>0.00673804634994653</x:v>
      </x:c>
      <x:c r="D26" s="22" t="n">
        <x:v>0.01370093464595133</x:v>
      </x:c>
      <x:c r="E26" s="19" t="n">
        <x:f>(D26-C26)*100</x:f>
        <x:v>0.69628882960048</x:v>
      </x:c>
      <x:c r="F26" s="19" t="n">
        <x:v>578393591</x:v>
      </x:c>
      <x:c r="G26" s="19" t="n">
        <x:v>1641645966</x:v>
      </x:c>
    </x:row>
    <x:row r="27" ht="22" customHeight="1">
      <x:c r="A27" s="15" t="str">
        <x:v>Таиланд</x:v>
      </x:c>
      <x:c r="B27" s="15" t="str">
        <x:v>764</x:v>
      </x:c>
      <x:c r="C27" s="22" t="n">
        <x:v>0.00550364306049456</x:v>
      </x:c>
      <x:c r="D27" s="22" t="n">
        <x:v>0.0055066906055405394</x:v>
      </x:c>
      <x:c r="E27" s="19" t="n">
        <x:f>(D27-C27)*100</x:f>
        <x:v>0.00030475450459796494</x:v>
      </x:c>
      <x:c r="F27" s="19" t="n">
        <x:v>472432469</x:v>
      </x:c>
      <x:c r="G27" s="19" t="n">
        <x:v>659811659</x:v>
      </x:c>
    </x:row>
    <x:row r="28" ht="22" customHeight="1">
      <x:c r="A28" s="15" t="str">
        <x:v>Остальные направления</x:v>
      </x:c>
      <x:c r="B28" s="15" t="str">
        <x:v>-1</x:v>
      </x:c>
      <x:c r="C28" s="22" t="n">
        <x:v>0.054824395240521434</x:v>
      </x:c>
      <x:c r="D28" s="22" t="n">
        <x:v>0.07864281869983433</x:v>
      </x:c>
      <x:c r="E28" s="19" t="n">
        <x:f>(D28-C28)*100</x:f>
        <x:v>2.3818423459312896</x:v>
      </x:c>
      <x:c r="F28" s="19" t="n">
        <x:v>4706123584</x:v>
      </x:c>
      <x:c r="G28" s="19" t="n">
        <x:v>9422982403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4" t="str">
        <x:v>2.7 География внутри товарных групп в 2024 году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6" t="str">
        <x:v>Доля направления внутри каждого товара. Сумма по строке равна 100%.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7" t="str">
        <x:v>Источник: S01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6" customHeight="1">
      <x:c r="A5" s="8" t="str">
        <x:v>Япония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40" customHeight="1">
      <x:c r="A6" s="13" t="str">
        <x:v>Товар</x:v>
      </x:c>
      <x:c r="B6" s="13" t="str">
        <x:v>Китай</x:v>
      </x:c>
      <x:c r="C6" s="13" t="str">
        <x:v>Гонконг</x:v>
      </x:c>
      <x:c r="D6" s="13" t="str">
        <x:v>Прочая Азия, н.в.д. (490)</x:v>
      </x:c>
      <x:c r="E6" s="13" t="str">
        <x:v>Вьетнам</x:v>
      </x:c>
      <x:c r="F6" s="13" t="str">
        <x:v>Сингапур</x:v>
      </x:c>
      <x:c r="G6" s="13" t="str">
        <x:v>Филиппины</x:v>
      </x:c>
      <x:c r="H6" s="13" t="str">
        <x:v>США</x:v>
      </x:c>
      <x:c r="I6" s="13" t="str">
        <x:v>Таиланд</x:v>
      </x:c>
      <x:c r="J6" s="13" t="str">
        <x:v>Остальные направления</x:v>
      </x:c>
    </x:row>
    <x:row r="7" ht="22" customHeight="1">
      <x:c r="A7" s="15" t="str">
        <x:v>Процессоры и контроллеры</x:v>
      </x:c>
      <x:c r="B7" s="22" t="n">
        <x:v>0.3239109688689512</x:v>
      </x:c>
      <x:c r="C7" s="22" t="n">
        <x:v>0.09442229141038848</x:v>
      </x:c>
      <x:c r="D7" s="22" t="n">
        <x:v>0.10142413251743783</x:v>
      </x:c>
      <x:c r="E7" s="22" t="n">
        <x:v>0.010189920305341639</x:v>
      </x:c>
      <x:c r="F7" s="22" t="n">
        <x:v>0.04754906816449147</x:v>
      </x:c>
      <x:c r="G7" s="22" t="n">
        <x:v>0.01896258441594997</x:v>
      </x:c>
      <x:c r="H7" s="22" t="n">
        <x:v>0.13136096891798016</x:v>
      </x:c>
      <x:c r="I7" s="22" t="n">
        <x:v>0.06620541766437896</x:v>
      </x:c>
      <x:c r="J7" s="22" t="n">
        <x:v>0.20597464773508029</x:v>
      </x:c>
    </x:row>
    <x:row r="8" ht="22" customHeight="1">
      <x:c r="A8" s="15" t="str">
        <x:v>Память</x:v>
      </x:c>
      <x:c r="B8" s="22" t="n">
        <x:v>0.3140977728536478</x:v>
      </x:c>
      <x:c r="C8" s="22" t="n">
        <x:v>0.01705743840308904</x:v>
      </x:c>
      <x:c r="D8" s="22" t="n">
        <x:v>0.49511701727815494</x:v>
      </x:c>
      <x:c r="E8" s="22" t="n">
        <x:v>0.0172803213492078</x:v>
      </x:c>
      <x:c r="F8" s="22" t="n">
        <x:v>0.03228963618044983</x:v>
      </x:c>
      <x:c r="G8" s="22" t="n">
        <x:v>0.02585732355910592</x:v>
      </x:c>
      <x:c r="H8" s="22" t="n">
        <x:v>0.00696079697184499</x:v>
      </x:c>
      <x:c r="I8" s="22" t="n">
        <x:v>0.01787197207630127</x:v>
      </x:c>
      <x:c r="J8" s="22" t="n">
        <x:v>0.0734677213281984</x:v>
      </x:c>
    </x:row>
    <x:row r="9" ht="22" customHeight="1">
      <x:c r="A9" s="15" t="str">
        <x:v>Усилители</x:v>
      </x:c>
      <x:c r="B9" s="22" t="n">
        <x:v>0.10395182873015026</x:v>
      </x:c>
      <x:c r="C9" s="22" t="n">
        <x:v>0.1281767118282407</x:v>
      </x:c>
      <x:c r="D9" s="22" t="n">
        <x:v>0.036653355449264347</x:v>
      </x:c>
      <x:c r="E9" s="22" t="n">
        <x:v>0.06861014400082326</x:v>
      </x:c>
      <x:c r="F9" s="22" t="n">
        <x:v>0.05749082130354639</x:v>
      </x:c>
      <x:c r="G9" s="22" t="n">
        <x:v>0.13192017841462417</x:v>
      </x:c>
      <x:c r="H9" s="22" t="n">
        <x:v>0.12365336714096939</x:v>
      </x:c>
      <x:c r="I9" s="22" t="n">
        <x:v>0.08705311245642813</x:v>
      </x:c>
      <x:c r="J9" s="22" t="n">
        <x:v>0.26249048067595343</x:v>
      </x:c>
    </x:row>
    <x:row r="10" ht="22" customHeight="1">
      <x:c r="A10" s="15" t="str">
        <x:v>Прочие интегральные схемы</x:v>
      </x:c>
      <x:c r="B10" s="22" t="n">
        <x:v>0.08594090730462721</x:v>
      </x:c>
      <x:c r="C10" s="22" t="n">
        <x:v>0.31719532738883793</x:v>
      </x:c>
      <x:c r="D10" s="22" t="n">
        <x:v>0.045208236131447546</x:v>
      </x:c>
      <x:c r="E10" s="22" t="n">
        <x:v>0.14517568200008746</x:v>
      </x:c>
      <x:c r="F10" s="22" t="n">
        <x:v>0.01577497788098528</x:v>
      </x:c>
      <x:c r="G10" s="22" t="n">
        <x:v>0.01720441550262646</x:v>
      </x:c>
      <x:c r="H10" s="22" t="n">
        <x:v>0.023005578150185012</x:v>
      </x:c>
      <x:c r="I10" s="22" t="n">
        <x:v>0.053664221349319516</x:v>
      </x:c>
      <x:c r="J10" s="22" t="n">
        <x:v>0.2968306542918835</x:v>
      </x:c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6" customHeight="1">
      <x:c r="A13" s="8" t="str">
        <x:v>Республика Корея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40" customHeight="1">
      <x:c r="A14" s="13" t="str">
        <x:v>Товар</x:v>
      </x:c>
      <x:c r="B14" s="13" t="str">
        <x:v>Китай</x:v>
      </x:c>
      <x:c r="C14" s="13" t="str">
        <x:v>Гонконг</x:v>
      </x:c>
      <x:c r="D14" s="13" t="str">
        <x:v>Прочая Азия, н.в.д. (490)</x:v>
      </x:c>
      <x:c r="E14" s="13" t="str">
        <x:v>Вьетнам</x:v>
      </x:c>
      <x:c r="F14" s="13" t="str">
        <x:v>Сингапур</x:v>
      </x:c>
      <x:c r="G14" s="13" t="str">
        <x:v>Филиппины</x:v>
      </x:c>
      <x:c r="H14" s="13" t="str">
        <x:v>США</x:v>
      </x:c>
      <x:c r="I14" s="13" t="str">
        <x:v>Таиланд</x:v>
      </x:c>
      <x:c r="J14" s="13" t="str">
        <x:v>Остальные направления</x:v>
      </x:c>
    </x:row>
    <x:row r="15" ht="22" customHeight="1">
      <x:c r="A15" s="15" t="str">
        <x:v>Процессоры и контроллеры</x:v>
      </x:c>
      <x:c r="B15" s="22" t="n">
        <x:v>0.38015122559875536</x:v>
      </x:c>
      <x:c r="C15" s="22" t="n">
        <x:v>0.07889219456995851</x:v>
      </x:c>
      <x:c r="D15" s="22" t="n">
        <x:v>0.07514833676640521</x:v>
      </x:c>
      <x:c r="E15" s="22" t="n">
        <x:v>0.18935233356980008</x:v>
      </x:c>
      <x:c r="F15" s="22" t="n">
        <x:v>0.09394211999135747</x:v>
      </x:c>
      <x:c r="G15" s="22" t="n">
        <x:v>0.01627380551347656</x:v>
      </x:c>
      <x:c r="H15" s="22" t="n">
        <x:v>0.03609946913540326</x:v>
      </x:c>
      <x:c r="I15" s="22" t="n">
        <x:v>0.008293965253931111</x:v>
      </x:c>
      <x:c r="J15" s="22" t="n">
        <x:v>0.12184654960091244</x:v>
      </x:c>
    </x:row>
    <x:row r="16" ht="22" customHeight="1">
      <x:c r="A16" s="15" t="str">
        <x:v>Память</x:v>
      </x:c>
      <x:c r="B16" s="22" t="n">
        <x:v>0.35845303726212974</x:v>
      </x:c>
      <x:c r="C16" s="22" t="n">
        <x:v>0.25447702165359004</x:v>
      </x:c>
      <x:c r="D16" s="22" t="n">
        <x:v>0.20078350455012361</x:v>
      </x:c>
      <x:c r="E16" s="22" t="n">
        <x:v>0.1034251247005688</x:v>
      </x:c>
      <x:c r="F16" s="22" t="n">
        <x:v>0.0044105002573690995</x:v>
      </x:c>
      <x:c r="G16" s="22" t="n">
        <x:v>0.01559876967328987</x:v>
      </x:c>
      <x:c r="H16" s="22" t="n">
        <x:v>0.00424075175299381</x:v>
      </x:c>
      <x:c r="I16" s="22" t="n">
        <x:v>0.0020969714411571898</x:v>
      </x:c>
      <x:c r="J16" s="22" t="n">
        <x:v>0.05651431870877776</x:v>
      </x:c>
    </x:row>
    <x:row r="17" ht="22" customHeight="1">
      <x:c r="A17" s="15" t="str">
        <x:v>Усилители</x:v>
      </x:c>
      <x:c r="B17" s="22" t="n">
        <x:v>0.03035359778406949</x:v>
      </x:c>
      <x:c r="C17" s="22" t="n">
        <x:v>0.08398311410698282</x:v>
      </x:c>
      <x:c r="D17" s="22" t="n">
        <x:v>0.00632076802651501</x:v>
      </x:c>
      <x:c r="E17" s="22" t="n">
        <x:v>0.5476484580237448</x:v>
      </x:c>
      <x:c r="F17" s="22" t="n">
        <x:v>0.00421145064634968</x:v>
      </x:c>
      <x:c r="G17" s="22" t="n">
        <x:v>0.00137818548666963</x:v>
      </x:c>
      <x:c r="H17" s="22" t="n">
        <x:v>0.0065621718320900205</x:v>
      </x:c>
      <x:c r="I17" s="22" t="n">
        <x:v>0.00266846553951448</x:v>
      </x:c>
      <x:c r="J17" s="22" t="n">
        <x:v>0.31687378855406395</x:v>
      </x:c>
    </x:row>
    <x:row r="18" ht="22" customHeight="1">
      <x:c r="A18" s="15" t="str">
        <x:v>Прочие интегральные схемы</x:v>
      </x:c>
      <x:c r="B18" s="22" t="n">
        <x:v>0.23176639964345255</x:v>
      </x:c>
      <x:c r="C18" s="22" t="n">
        <x:v>0.18154248660690825</x:v>
      </x:c>
      <x:c r="D18" s="22" t="n">
        <x:v>0.28418128570055906</x:v>
      </x:c>
      <x:c r="E18" s="22" t="n">
        <x:v>0.18905570188387155</x:v>
      </x:c>
      <x:c r="F18" s="22" t="n">
        <x:v>0.00763876057812702</x:v>
      </x:c>
      <x:c r="G18" s="22" t="n">
        <x:v>0.006501486760402</x:v>
      </x:c>
      <x:c r="H18" s="22" t="n">
        <x:v>0.0034728986703102</x:v>
      </x:c>
      <x:c r="I18" s="22" t="n">
        <x:v>0.0179821914527389</x:v>
      </x:c>
      <x:c r="J18" s="22" t="n">
        <x:v>0.07785878870363047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9" hidden="0" customWidth="1"/>
    <x:col min="4" max="4" width="29" hidden="0" customWidth="1"/>
  </x:cols>
  <x:sheetData>
    <x:row r="1" ht="8" customHeight="1">
      <x:c r="A1" s="2"/>
      <x:c r="B1" s="2"/>
      <x:c r="C1" s="2"/>
      <x:c r="D1" s="2"/>
    </x:row>
    <x:row r="2" ht="29" customHeight="1">
      <x:c r="A2" s="4" t="str">
        <x:v>2.8 Экспорт в двух сопоставляемых эпизодах</x:v>
      </x:c>
      <x:c r="B2" s="5"/>
      <x:c r="C2" s="5"/>
      <x:c r="D2" s="5"/>
    </x:row>
    <x:row r="3" ht="44" customHeight="1">
      <x:c r="A3" s="6" t="str">
        <x:v>Квартальная сумма. IV квартал 2018 / 2022 года = 100. Без сезонной корректировки и причинной
интерпретации.</x:v>
      </x:c>
      <x:c r="B3" s="2"/>
      <x:c r="C3" s="2"/>
      <x:c r="D3" s="2"/>
    </x:row>
    <x:row r="4" ht="22" customHeight="1">
      <x:c r="A4" s="7" t="str">
        <x:v>Источник: S04</x:v>
      </x:c>
      <x:c r="B4" s="2"/>
      <x:c r="C4" s="2"/>
      <x:c r="D4" s="2"/>
    </x:row>
    <x:row r="5" ht="26" customHeight="1">
      <x:c r="A5" s="8" t="str">
        <x:v>Япония, база 2018 Q4</x:v>
      </x:c>
      <x:c r="B5" s="2"/>
      <x:c r="C5" s="2"/>
      <x:c r="D5" s="2"/>
    </x:row>
    <x:row r="6" ht="36" customHeight="1">
      <x:c r="A6" s="13" t="str">
        <x:v>Кварталов от базы</x:v>
      </x:c>
      <x:c r="B6" s="13" t="str">
        <x:v>Квартал</x:v>
      </x:c>
      <x:c r="C6" s="13" t="str">
        <x:v>Экспорт, долл.</x:v>
      </x:c>
      <x:c r="D6" s="13" t="str">
        <x:v>Индекс, база = 100</x:v>
      </x:c>
    </x:row>
    <x:row r="7" ht="22" customHeight="1">
      <x:c r="A7" s="18" t="n">
        <x:v>0</x:v>
      </x:c>
      <x:c r="B7" s="15" t="str">
        <x:v>2018 Q4</x:v>
      </x:c>
      <x:c r="C7" s="19" t="n">
        <x:v>6783197897.029999</x:v>
      </x:c>
      <x:c r="D7" s="19" t="n">
        <x:f>C7/$C$7*100</x:f>
        <x:v>100</x:v>
      </x:c>
    </x:row>
    <x:row r="8" ht="22" customHeight="1">
      <x:c r="A8" s="18" t="n">
        <x:v>1</x:v>
      </x:c>
      <x:c r="B8" s="15" t="str">
        <x:v>2019 Q1</x:v>
      </x:c>
      <x:c r="C8" s="19" t="n">
        <x:v>5569648457.389</x:v>
      </x:c>
      <x:c r="D8" s="19" t="n">
        <x:f>C8/$C$7*100</x:f>
        <x:v>82.10947906779562</x:v>
      </x:c>
    </x:row>
    <x:row r="9" ht="22" customHeight="1">
      <x:c r="A9" s="18" t="n">
        <x:v>2</x:v>
      </x:c>
      <x:c r="B9" s="15" t="str">
        <x:v>2019 Q2</x:v>
      </x:c>
      <x:c r="C9" s="19" t="n">
        <x:v>6158080373.753</x:v>
      </x:c>
      <x:c r="D9" s="19" t="n">
        <x:f>C9/$C$7*100</x:f>
        <x:v>90.78432425581002</x:v>
      </x:c>
    </x:row>
    <x:row r="10" ht="22" customHeight="1">
      <x:c r="A10" s="18" t="n">
        <x:v>3</x:v>
      </x:c>
      <x:c r="B10" s="15" t="str">
        <x:v>2019 Q3</x:v>
      </x:c>
      <x:c r="C10" s="19" t="n">
        <x:v>7126322737.101</x:v>
      </x:c>
      <x:c r="D10" s="19" t="n">
        <x:f>C10/$C$7*100</x:f>
        <x:v>105.05845244794108</x:v>
      </x:c>
    </x:row>
    <x:row r="11" ht="22" customHeight="1">
      <x:c r="A11" s="18" t="n">
        <x:v>4</x:v>
      </x:c>
      <x:c r="B11" s="15" t="str">
        <x:v>2019 Q4</x:v>
      </x:c>
      <x:c r="C11" s="19" t="n">
        <x:v>7192788222.436001</x:v>
      </x:c>
      <x:c r="D11" s="19" t="n">
        <x:f>C11/$C$7*100</x:f>
        <x:v>106.03830717640332</x:v>
      </x:c>
    </x:row>
    <x:row r="12" ht="22" customHeight="1">
      <x:c r="A12" s="18" t="n">
        <x:v>5</x:v>
      </x:c>
      <x:c r="B12" s="15" t="str">
        <x:v>2020 Q1</x:v>
      </x:c>
      <x:c r="C12" s="19" t="n">
        <x:v>6203974506.476</x:v>
      </x:c>
      <x:c r="D12" s="19" t="n">
        <x:f>C12/$C$7*100</x:f>
        <x:v>91.46090974571727</x:v>
      </x:c>
    </x:row>
    <x:row r="13" ht="22" customHeight="1">
      <x:c r="A13" s="18" t="n">
        <x:v>6</x:v>
      </x:c>
      <x:c r="B13" s="15" t="str">
        <x:v>2020 Q2</x:v>
      </x:c>
      <x:c r="C13" s="19" t="n">
        <x:v>6060235174.528</x:v>
      </x:c>
      <x:c r="D13" s="19" t="n">
        <x:f>C13/$C$7*100</x:f>
        <x:v>89.34186008610267</x:v>
      </x:c>
    </x:row>
    <x:row r="14" ht="22" customHeight="1">
      <x:c r="A14" s="18" t="n">
        <x:v>7</x:v>
      </x:c>
      <x:c r="B14" s="15" t="str">
        <x:v>2020 Q3</x:v>
      </x:c>
      <x:c r="C14" s="19" t="n">
        <x:v>7098176425.218</x:v>
      </x:c>
      <x:c r="D14" s="19" t="n">
        <x:f>C14/$C$7*100</x:f>
        <x:v>104.64351081848746</x:v>
      </x:c>
    </x:row>
    <x:row r="15" ht="22" customHeight="1">
      <x:c r="A15" s="18" t="n">
        <x:v>8</x:v>
      </x:c>
      <x:c r="B15" s="15" t="str">
        <x:v>2020 Q4</x:v>
      </x:c>
      <x:c r="C15" s="19" t="n">
        <x:v>7145044275.006</x:v>
      </x:c>
      <x:c r="D15" s="19" t="n">
        <x:f>C15/$C$7*100</x:f>
        <x:v>105.33445114633075</x:v>
      </x:c>
    </x:row>
    <x:row r="16" ht="22" customHeight="1">
      <x:c r="A16" s="2"/>
      <x:c r="B16" s="2"/>
      <x:c r="C16" s="2"/>
      <x:c r="D16" s="2"/>
    </x:row>
    <x:row r="17" ht="22" customHeight="1">
      <x:c r="A17" s="2"/>
      <x:c r="B17" s="2"/>
      <x:c r="C17" s="2"/>
      <x:c r="D17" s="2"/>
    </x:row>
    <x:row r="18" ht="26" customHeight="1">
      <x:c r="A18" s="8" t="str">
        <x:v>Япония, база 2022 Q4</x:v>
      </x:c>
      <x:c r="B18" s="2"/>
      <x:c r="C18" s="2"/>
      <x:c r="D18" s="2"/>
    </x:row>
    <x:row r="19" ht="36" customHeight="1">
      <x:c r="A19" s="13" t="str">
        <x:v>Кварталов от базы</x:v>
      </x:c>
      <x:c r="B19" s="13" t="str">
        <x:v>Квартал</x:v>
      </x:c>
      <x:c r="C19" s="13" t="str">
        <x:v>Экспорт, долл.</x:v>
      </x:c>
      <x:c r="D19" s="13" t="str">
        <x:v>Индекс, база = 100</x:v>
      </x:c>
    </x:row>
    <x:row r="20" ht="22" customHeight="1">
      <x:c r="A20" s="18" t="n">
        <x:v>0</x:v>
      </x:c>
      <x:c r="B20" s="15" t="str">
        <x:v>2022 Q4</x:v>
      </x:c>
      <x:c r="C20" s="19" t="n">
        <x:v>7652487889.674999</x:v>
      </x:c>
      <x:c r="D20" s="19" t="n">
        <x:f>C20/$C$20*100</x:f>
        <x:v>100</x:v>
      </x:c>
    </x:row>
    <x:row r="21" ht="22" customHeight="1">
      <x:c r="A21" s="18" t="n">
        <x:v>1</x:v>
      </x:c>
      <x:c r="B21" s="15" t="str">
        <x:v>2023 Q1</x:v>
      </x:c>
      <x:c r="C21" s="19" t="n">
        <x:v>6954616714.265</x:v>
      </x:c>
      <x:c r="D21" s="19" t="n">
        <x:f>C21/$C$20*100</x:f>
        <x:v>90.8804667779796</x:v>
      </x:c>
    </x:row>
    <x:row r="22" ht="22" customHeight="1">
      <x:c r="A22" s="18" t="n">
        <x:v>2</x:v>
      </x:c>
      <x:c r="B22" s="15" t="str">
        <x:v>2023 Q2</x:v>
      </x:c>
      <x:c r="C22" s="19" t="n">
        <x:v>6460331001.115</x:v>
      </x:c>
      <x:c r="D22" s="19" t="n">
        <x:f>C22/$C$20*100</x:f>
        <x:v>84.42131623405118</x:v>
      </x:c>
    </x:row>
    <x:row r="23" ht="22" customHeight="1">
      <x:c r="A23" s="18" t="n">
        <x:v>3</x:v>
      </x:c>
      <x:c r="B23" s="15" t="str">
        <x:v>2023 Q3</x:v>
      </x:c>
      <x:c r="C23" s="19" t="n">
        <x:v>7151977894.679001</x:v>
      </x:c>
      <x:c r="D23" s="19" t="n">
        <x:f>C23/$C$20*100</x:f>
        <x:v>93.45951274655</x:v>
      </x:c>
    </x:row>
    <x:row r="24" ht="22" customHeight="1">
      <x:c r="A24" s="18" t="n">
        <x:v>4</x:v>
      </x:c>
      <x:c r="B24" s="15" t="str">
        <x:v>2023 Q4</x:v>
      </x:c>
      <x:c r="C24" s="19" t="n">
        <x:v>7828280220.185001</x:v>
      </x:c>
      <x:c r="D24" s="19" t="n">
        <x:f>C24/$C$20*100</x:f>
        <x:v>102.29719188118138</x:v>
      </x:c>
    </x:row>
    <x:row r="25" ht="22" customHeight="1">
      <x:c r="A25" s="18" t="n">
        <x:v>5</x:v>
      </x:c>
      <x:c r="B25" s="15" t="str">
        <x:v>2024 Q1</x:v>
      </x:c>
      <x:c r="C25" s="19" t="n">
        <x:v>6979304538.994</x:v>
      </x:c>
      <x:c r="D25" s="19" t="n">
        <x:f>C25/$C$20*100</x:f>
        <x:v>91.20307852313911</x:v>
      </x:c>
    </x:row>
    <x:row r="26" ht="22" customHeight="1">
      <x:c r="A26" s="18" t="n">
        <x:v>6</x:v>
      </x:c>
      <x:c r="B26" s="15" t="str">
        <x:v>2024 Q2</x:v>
      </x:c>
      <x:c r="C26" s="19" t="n">
        <x:v>6983253625.1449995</x:v>
      </x:c>
      <x:c r="D26" s="19" t="n">
        <x:f>C26/$C$20*100</x:f>
        <x:v>91.25468378155875</x:v>
      </x:c>
    </x:row>
    <x:row r="27" ht="22" customHeight="1">
      <x:c r="A27" s="18" t="n">
        <x:v>7</x:v>
      </x:c>
      <x:c r="B27" s="15" t="str">
        <x:v>2024 Q3</x:v>
      </x:c>
      <x:c r="C27" s="19" t="n">
        <x:v>8596255770.854</x:v>
      </x:c>
      <x:c r="D27" s="19" t="n">
        <x:f>C27/$C$20*100</x:f>
        <x:v>112.3328242368389</x:v>
      </x:c>
    </x:row>
    <x:row r="28" ht="22" customHeight="1">
      <x:c r="A28" s="18" t="n">
        <x:v>8</x:v>
      </x:c>
      <x:c r="B28" s="15" t="str">
        <x:v>2024 Q4</x:v>
      </x:c>
      <x:c r="C28" s="19" t="n">
        <x:v>7819134481.323001</x:v>
      </x:c>
      <x:c r="D28" s="19" t="n">
        <x:f>C28/$C$20*100</x:f>
        <x:v>102.17767860662474</x:v>
      </x:c>
    </x:row>
    <x:row r="29" ht="22" customHeight="1">
      <x:c r="A29" s="2"/>
      <x:c r="B29" s="2"/>
      <x:c r="C29" s="2"/>
      <x:c r="D29" s="2"/>
    </x:row>
    <x:row r="30" ht="22" customHeight="1">
      <x:c r="A30" s="2"/>
      <x:c r="B30" s="2"/>
      <x:c r="C30" s="2"/>
      <x:c r="D30" s="2"/>
    </x:row>
    <x:row r="31" ht="26" customHeight="1">
      <x:c r="A31" s="8" t="str">
        <x:v>Республика Корея, база 2018 Q4</x:v>
      </x:c>
      <x:c r="B31" s="2"/>
      <x:c r="C31" s="2"/>
      <x:c r="D31" s="2"/>
    </x:row>
    <x:row r="32" ht="36" customHeight="1">
      <x:c r="A32" s="13" t="str">
        <x:v>Кварталов от базы</x:v>
      </x:c>
      <x:c r="B32" s="13" t="str">
        <x:v>Квартал</x:v>
      </x:c>
      <x:c r="C32" s="13" t="str">
        <x:v>Экспорт, долл.</x:v>
      </x:c>
      <x:c r="D32" s="13" t="str">
        <x:v>Индекс, база = 100</x:v>
      </x:c>
    </x:row>
    <x:row r="33" ht="22" customHeight="1">
      <x:c r="A33" s="18" t="n">
        <x:v>0</x:v>
      </x:c>
      <x:c r="B33" s="15" t="str">
        <x:v>2018 Q4</x:v>
      </x:c>
      <x:c r="C33" s="19" t="n">
        <x:v>25745953283</x:v>
      </x:c>
      <x:c r="D33" s="19" t="n">
        <x:f>C33/$C$33*100</x:f>
        <x:v>100</x:v>
      </x:c>
    </x:row>
    <x:row r="34" ht="22" customHeight="1">
      <x:c r="A34" s="18" t="n">
        <x:v>1</x:v>
      </x:c>
      <x:c r="B34" s="15" t="str">
        <x:v>2019 Q1</x:v>
      </x:c>
      <x:c r="C34" s="19" t="n">
        <x:v>19296171440</x:v>
      </x:c>
      <x:c r="D34" s="19" t="n">
        <x:f>C34/$C$33*100</x:f>
        <x:v>74.9483665564686</x:v>
      </x:c>
    </x:row>
    <x:row r="35" ht="22" customHeight="1">
      <x:c r="A35" s="18" t="n">
        <x:v>2</x:v>
      </x:c>
      <x:c r="B35" s="15" t="str">
        <x:v>2019 Q2</x:v>
      </x:c>
      <x:c r="C35" s="19" t="n">
        <x:v>20325794572</x:v>
      </x:c>
      <x:c r="D35" s="19" t="n">
        <x:f>C35/$C$33*100</x:f>
        <x:v>78.94753147641684</x:v>
      </x:c>
    </x:row>
    <x:row r="36" ht="22" customHeight="1">
      <x:c r="A36" s="18" t="n">
        <x:v>3</x:v>
      </x:c>
      <x:c r="B36" s="15" t="str">
        <x:v>2019 Q3</x:v>
      </x:c>
      <x:c r="C36" s="19" t="n">
        <x:v>20312755729</x:v>
      </x:c>
      <x:c r="D36" s="19" t="n">
        <x:f>C36/$C$33*100</x:f>
        <x:v>78.89688723397347</x:v>
      </x:c>
    </x:row>
    <x:row r="37" ht="22" customHeight="1">
      <x:c r="A37" s="18" t="n">
        <x:v>4</x:v>
      </x:c>
      <x:c r="B37" s="15" t="str">
        <x:v>2019 Q4</x:v>
      </x:c>
      <x:c r="C37" s="19" t="n">
        <x:v>18887617444</x:v>
      </x:c>
      <x:c r="D37" s="19" t="n">
        <x:f>C37/$C$33*100</x:f>
        <x:v>73.36149971371017</x:v>
      </x:c>
    </x:row>
    <x:row r="38" ht="22" customHeight="1">
      <x:c r="A38" s="18" t="n">
        <x:v>5</x:v>
      </x:c>
      <x:c r="B38" s="15" t="str">
        <x:v>2020 Q1</x:v>
      </x:c>
      <x:c r="C38" s="19" t="n">
        <x:v>19536318519</x:v>
      </x:c>
      <x:c r="D38" s="19" t="n">
        <x:f>C38/$C$33*100</x:f>
        <x:v>75.88112315848794</x:v>
      </x:c>
    </x:row>
    <x:row r="39" ht="22" customHeight="1">
      <x:c r="A39" s="18" t="n">
        <x:v>6</x:v>
      </x:c>
      <x:c r="B39" s="15" t="str">
        <x:v>2020 Q2</x:v>
      </x:c>
      <x:c r="C39" s="19" t="n">
        <x:v>19025270978</x:v>
      </x:c>
      <x:c r="D39" s="19" t="n">
        <x:f>C39/$C$33*100</x:f>
        <x:v>73.89616056890131</x:v>
      </x:c>
    </x:row>
    <x:row r="40" ht="22" customHeight="1">
      <x:c r="A40" s="18" t="n">
        <x:v>7</x:v>
      </x:c>
      <x:c r="B40" s="15" t="str">
        <x:v>2020 Q3</x:v>
      </x:c>
      <x:c r="C40" s="19" t="n">
        <x:v>21447557161</x:v>
      </x:c>
      <x:c r="D40" s="19" t="n">
        <x:f>C40/$C$33*100</x:f>
        <x:v>83.304575772542</x:v>
      </x:c>
    </x:row>
    <x:row r="41" ht="22" customHeight="1">
      <x:c r="A41" s="18" t="n">
        <x:v>8</x:v>
      </x:c>
      <x:c r="B41" s="15" t="str">
        <x:v>2020 Q4</x:v>
      </x:c>
      <x:c r="C41" s="19" t="n">
        <x:v>22594386105</x:v>
      </x:c>
      <x:c r="D41" s="19" t="n">
        <x:f>C41/$C$33*100</x:f>
        <x:v>87.75898043720535</x:v>
      </x:c>
    </x:row>
    <x:row r="42" ht="22" customHeight="1">
      <x:c r="A42" s="2"/>
      <x:c r="B42" s="2"/>
      <x:c r="C42" s="2"/>
      <x:c r="D42" s="2"/>
    </x:row>
    <x:row r="43" ht="22" customHeight="1">
      <x:c r="A43" s="2"/>
      <x:c r="B43" s="2"/>
      <x:c r="C43" s="2"/>
      <x:c r="D43" s="2"/>
    </x:row>
    <x:row r="44" ht="26" customHeight="1">
      <x:c r="A44" s="8" t="str">
        <x:v>Республика Корея, база 2022 Q4</x:v>
      </x:c>
      <x:c r="B44" s="2"/>
      <x:c r="C44" s="2"/>
      <x:c r="D44" s="2"/>
    </x:row>
    <x:row r="45" ht="36" customHeight="1">
      <x:c r="A45" s="13" t="str">
        <x:v>Кварталов от базы</x:v>
      </x:c>
      <x:c r="B45" s="13" t="str">
        <x:v>Квартал</x:v>
      </x:c>
      <x:c r="C45" s="13" t="str">
        <x:v>Экспорт, долл.</x:v>
      </x:c>
      <x:c r="D45" s="13" t="str">
        <x:v>Индекс, база = 100</x:v>
      </x:c>
    </x:row>
    <x:row r="46" ht="22" customHeight="1">
      <x:c r="A46" s="18" t="n">
        <x:v>0</x:v>
      </x:c>
      <x:c r="B46" s="15" t="str">
        <x:v>2022 Q4</x:v>
      </x:c>
      <x:c r="C46" s="19" t="n">
        <x:v>23671371760</x:v>
      </x:c>
      <x:c r="D46" s="19" t="n">
        <x:f>C46/$C$46*100</x:f>
        <x:v>100</x:v>
      </x:c>
    </x:row>
    <x:row r="47" ht="22" customHeight="1">
      <x:c r="A47" s="18" t="n">
        <x:v>1</x:v>
      </x:c>
      <x:c r="B47" s="15" t="str">
        <x:v>2023 Q1</x:v>
      </x:c>
      <x:c r="C47" s="19" t="n">
        <x:v>18057100979</x:v>
      </x:c>
      <x:c r="D47" s="19" t="n">
        <x:f>C47/$C$46*100</x:f>
        <x:v>76.28244430478244</x:v>
      </x:c>
    </x:row>
    <x:row r="48" ht="22" customHeight="1">
      <x:c r="A48" s="18" t="n">
        <x:v>2</x:v>
      </x:c>
      <x:c r="B48" s="15" t="str">
        <x:v>2023 Q2</x:v>
      </x:c>
      <x:c r="C48" s="19" t="n">
        <x:v>20195080509</x:v>
      </x:c>
      <x:c r="D48" s="19" t="n">
        <x:f>C48/$C$46*100</x:f>
        <x:v>85.31436502182669</x:v>
      </x:c>
    </x:row>
    <x:row r="49" ht="22" customHeight="1">
      <x:c r="A49" s="18" t="n">
        <x:v>3</x:v>
      </x:c>
      <x:c r="B49" s="15" t="str">
        <x:v>2023 Q3</x:v>
      </x:c>
      <x:c r="C49" s="19" t="n">
        <x:v>22614437335</x:v>
      </x:c>
      <x:c r="D49" s="19" t="n">
        <x:f>C49/$C$46*100</x:f>
        <x:v>95.53496757299882</x:v>
      </x:c>
    </x:row>
    <x:row r="50" ht="22" customHeight="1">
      <x:c r="A50" s="18" t="n">
        <x:v>4</x:v>
      </x:c>
      <x:c r="B50" s="15" t="str">
        <x:v>2023 Q4</x:v>
      </x:c>
      <x:c r="C50" s="19" t="n">
        <x:v>24921031939</x:v>
      </x:c>
      <x:c r="D50" s="19" t="n">
        <x:f>C50/$C$46*100</x:f>
        <x:v>105.2792047358729</x:v>
      </x:c>
    </x:row>
    <x:row r="51" ht="22" customHeight="1">
      <x:c r="A51" s="18" t="n">
        <x:v>5</x:v>
      </x:c>
      <x:c r="B51" s="15" t="str">
        <x:v>2024 Q1</x:v>
      </x:c>
      <x:c r="C51" s="19" t="n">
        <x:v>26325474678</x:v>
      </x:c>
      <x:c r="D51" s="19" t="n">
        <x:f>C51/$C$46*100</x:f>
        <x:v>111.2122902927194</x:v>
      </x:c>
    </x:row>
    <x:row r="52" ht="22" customHeight="1">
      <x:c r="A52" s="18" t="n">
        <x:v>6</x:v>
      </x:c>
      <x:c r="B52" s="15" t="str">
        <x:v>2024 Q2</x:v>
      </x:c>
      <x:c r="C52" s="19" t="n">
        <x:v>29560180800</x:v>
      </x:c>
      <x:c r="D52" s="19" t="n">
        <x:f>C52/$C$46*100</x:f>
        <x:v>124.87734593375335</x:v>
      </x:c>
    </x:row>
    <x:row r="53" ht="22" customHeight="1">
      <x:c r="A53" s="18" t="n">
        <x:v>7</x:v>
      </x:c>
      <x:c r="B53" s="15" t="str">
        <x:v>2024 Q3</x:v>
      </x:c>
      <x:c r="C53" s="19" t="n">
        <x:v>31095245796</x:v>
      </x:c>
      <x:c r="D53" s="19" t="n">
        <x:f>C53/$C$46*100</x:f>
        <x:v>131.36224681556013</x:v>
      </x:c>
    </x:row>
    <x:row r="54" ht="22" customHeight="1">
      <x:c r="A54" s="18" t="n">
        <x:v>8</x:v>
      </x:c>
      <x:c r="B54" s="15" t="str">
        <x:v>2024 Q4</x:v>
      </x:c>
      <x:c r="C54" s="19" t="n">
        <x:v>32839097027</x:v>
      </x:c>
      <x:c r="D54" s="19" t="n">
        <x:f>C54/$C$46*100</x:f>
        <x:v>138.72916770498136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5" hidden="0" customWidth="1"/>
    <x:col min="2" max="2" width="4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4" t="str">
        <x:v>2.9 Волатильность четырёх условных структур</x:v>
      </x:c>
      <x:c r="B2" s="5"/>
      <x:c r="C2" s="5"/>
      <x:c r="D2" s="5"/>
      <x:c r="E2" s="5"/>
      <x:c r="F2" s="5"/>
      <x:c r="G2" s="5"/>
      <x:c r="H2" s="5"/>
      <x:c r="I2" s="5"/>
    </x:row>
    <x:row r="3" ht="22" customHeight="1">
      <x:c r="A3" s="6" t="str">
        <x:v>Одна история 2018–2024, 84 месяца. 95% точечные интервалы, круговой блочный бутстрэп, блок 12 месяцев.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7" t="str">
        <x:v>Источник: S01</x:v>
      </x:c>
      <x:c r="B4" s="2"/>
      <x:c r="C4" s="2"/>
      <x:c r="D4" s="2"/>
      <x:c r="E4" s="2"/>
      <x:c r="F4" s="2"/>
      <x:c r="G4" s="2"/>
      <x:c r="H4" s="2"/>
      <x:c r="I4" s="2"/>
    </x:row>
    <x:row r="5" ht="26" customHeight="1">
      <x:c r="A5" s="8" t="str">
        <x:v>Состояния</x:v>
      </x:c>
      <x:c r="B5" s="2"/>
      <x:c r="C5" s="2"/>
      <x:c r="D5" s="2"/>
      <x:c r="E5" s="2"/>
      <x:c r="F5" s="2"/>
      <x:c r="G5" s="2"/>
      <x:c r="H5" s="2"/>
      <x:c r="I5" s="2"/>
    </x:row>
    <x:row r="6" ht="36" customHeight="1">
      <x:c r="A6" s="13" t="str">
        <x:v>Страна</x:v>
      </x:c>
      <x:c r="B6" s="13" t="str">
        <x:v>Структура</x:v>
      </x:c>
      <x:c r="C6" s="13" t="str">
        <x:v>SD, п.п.</x:v>
      </x:c>
      <x:c r="D6" s="13" t="str">
        <x:v>Нижняя 95%, п.п.</x:v>
      </x:c>
      <x:c r="E6" s="13" t="str">
        <x:v>Верхняя 95%, п.п.</x:v>
      </x:c>
      <x:c r="F6" s="13" t="str">
        <x:v>Ошибка вниз, п.п.</x:v>
      </x:c>
      <x:c r="G6" s="13" t="str">
        <x:v>Ошибка вверх, п.п.</x:v>
      </x:c>
      <x:c r="H6" s="13" t="str">
        <x:v>Дисперсия, п.п.²</x:v>
      </x:c>
      <x:c r="I6" s="13" t="str">
        <x:v>Месяцев</x:v>
      </x:c>
    </x:row>
    <x:row r="7" ht="22" customHeight="1">
      <x:c r="A7" s="15" t="str">
        <x:v>Япония</x:v>
      </x:c>
      <x:c r="B7" s="15" t="str">
        <x:v>Товар 2017, география 2017</x:v>
      </x:c>
      <x:c r="C7" s="19" t="n">
        <x:v>10.036580921332144</x:v>
      </x:c>
      <x:c r="D7" s="19" t="n">
        <x:v>8.440669613786666</x:v>
      </x:c>
      <x:c r="E7" s="19" t="n">
        <x:v>10.997564438513004</x:v>
      </x:c>
      <x:c r="F7" s="19" t="n">
        <x:f>C7-D7</x:f>
        <x:v>1.595911307545478</x:v>
      </x:c>
      <x:c r="G7" s="19" t="n">
        <x:f>E7-C7</x:f>
        <x:v>0.9609835171808605</x:v>
      </x:c>
      <x:c r="H7" s="19" t="n">
        <x:v>100.73295659044835</x:v>
      </x:c>
      <x:c r="I7" s="18" t="n">
        <x:v>84</x:v>
      </x:c>
    </x:row>
    <x:row r="8" ht="22" customHeight="1">
      <x:c r="A8" s="15" t="str">
        <x:v>Япония</x:v>
      </x:c>
      <x:c r="B8" s="15" t="str">
        <x:v>Товар 2024, география 2017</x:v>
      </x:c>
      <x:c r="C8" s="19" t="n">
        <x:v>10.307412027980272</x:v>
      </x:c>
      <x:c r="D8" s="19" t="n">
        <x:v>8.722006946726033</x:v>
      </x:c>
      <x:c r="E8" s="19" t="n">
        <x:v>11.243727942366272</x:v>
      </x:c>
      <x:c r="F8" s="19" t="n">
        <x:f>C8-D8</x:f>
        <x:v>1.5854050812542386</x:v>
      </x:c>
      <x:c r="G8" s="19" t="n">
        <x:f>E8-C8</x:f>
        <x:v>0.9363159143860003</x:v>
      </x:c>
      <x:c r="H8" s="19" t="n">
        <x:v>106.24274271455242</x:v>
      </x:c>
      <x:c r="I8" s="18" t="n">
        <x:v>84</x:v>
      </x:c>
    </x:row>
    <x:row r="9" ht="22" customHeight="1">
      <x:c r="A9" s="15" t="str">
        <x:v>Япония</x:v>
      </x:c>
      <x:c r="B9" s="15" t="str">
        <x:v>Товар 2017, география 2024</x:v>
      </x:c>
      <x:c r="C9" s="19" t="n">
        <x:v>9.521577766916751</x:v>
      </x:c>
      <x:c r="D9" s="19" t="n">
        <x:v>8.177003892440354</x:v>
      </x:c>
      <x:c r="E9" s="19" t="n">
        <x:v>10.354590552437433</x:v>
      </x:c>
      <x:c r="F9" s="19" t="n">
        <x:f>C9-D9</x:f>
        <x:v>1.3445738744763975</x:v>
      </x:c>
      <x:c r="G9" s="19" t="n">
        <x:f>E9-C9</x:f>
        <x:v>0.8330127855206815</x:v>
      </x:c>
      <x:c r="H9" s="19" t="n">
        <x:v>90.6604431714434</x:v>
      </x:c>
      <x:c r="I9" s="18" t="n">
        <x:v>84</x:v>
      </x:c>
    </x:row>
    <x:row r="10" ht="22" customHeight="1">
      <x:c r="A10" s="15" t="str">
        <x:v>Япония</x:v>
      </x:c>
      <x:c r="B10" s="15" t="str">
        <x:v>Товар 2024, география 2024</x:v>
      </x:c>
      <x:c r="C10" s="19" t="n">
        <x:v>9.771779377990937</x:v>
      </x:c>
      <x:c r="D10" s="19" t="n">
        <x:v>8.198480845455476</x:v>
      </x:c>
      <x:c r="E10" s="19" t="n">
        <x:v>10.77098937740853</x:v>
      </x:c>
      <x:c r="F10" s="19" t="n">
        <x:f>C10-D10</x:f>
        <x:v>1.5732985325354605</x:v>
      </x:c>
      <x:c r="G10" s="19" t="n">
        <x:f>E10-C10</x:f>
        <x:v>0.9992099994175927</x:v>
      </x:c>
      <x:c r="H10" s="19" t="n">
        <x:v>95.48767221212896</x:v>
      </x:c>
      <x:c r="I10" s="18" t="n">
        <x:v>84</x:v>
      </x:c>
    </x:row>
    <x:row r="11" ht="22" customHeight="1">
      <x:c r="A11" s="15" t="str">
        <x:v>Республика Корея</x:v>
      </x:c>
      <x:c r="B11" s="15" t="str">
        <x:v>Товар 2017, география 2017</x:v>
      </x:c>
      <x:c r="C11" s="19" t="n">
        <x:v>29.85235223741976</x:v>
      </x:c>
      <x:c r="D11" s="19" t="n">
        <x:v>19.606821131234813</x:v>
      </x:c>
      <x:c r="E11" s="19" t="n">
        <x:v>34.26990002674627</x:v>
      </x:c>
      <x:c r="F11" s="19" t="n">
        <x:f>C11-D11</x:f>
        <x:v>10.245531106184945</x:v>
      </x:c>
      <x:c r="G11" s="19" t="n">
        <x:f>E11-C11</x:f>
        <x:v>4.4175477893265125</x:v>
      </x:c>
      <x:c r="H11" s="19" t="n">
        <x:v>891.1629341069804</x:v>
      </x:c>
      <x:c r="I11" s="18" t="n">
        <x:v>84</x:v>
      </x:c>
    </x:row>
    <x:row r="12" ht="22" customHeight="1">
      <x:c r="A12" s="15" t="str">
        <x:v>Республика Корея</x:v>
      </x:c>
      <x:c r="B12" s="15" t="str">
        <x:v>Товар 2024, география 2017</x:v>
      </x:c>
      <x:c r="C12" s="19" t="n">
        <x:v>26.73436573959761</x:v>
      </x:c>
      <x:c r="D12" s="19" t="n">
        <x:v>17.385016020145923</x:v>
      </x:c>
      <x:c r="E12" s="19" t="n">
        <x:v>30.826290223790505</x:v>
      </x:c>
      <x:c r="F12" s="19" t="n">
        <x:f>C12-D12</x:f>
        <x:v>9.349349719451688</x:v>
      </x:c>
      <x:c r="G12" s="19" t="n">
        <x:f>E12-C12</x:f>
        <x:v>4.091924484192894</x:v>
      </x:c>
      <x:c r="H12" s="19" t="n">
        <x:v>714.7263114985703</x:v>
      </x:c>
      <x:c r="I12" s="18" t="n">
        <x:v>84</x:v>
      </x:c>
    </x:row>
    <x:row r="13" ht="22" customHeight="1">
      <x:c r="A13" s="15" t="str">
        <x:v>Республика Корея</x:v>
      </x:c>
      <x:c r="B13" s="15" t="str">
        <x:v>Товар 2017, география 2024</x:v>
      </x:c>
      <x:c r="C13" s="19" t="n">
        <x:v>31.40830320999402</x:v>
      </x:c>
      <x:c r="D13" s="19" t="n">
        <x:v>20.54975840843015</x:v>
      </x:c>
      <x:c r="E13" s="19" t="n">
        <x:v>36.16900604829284</x:v>
      </x:c>
      <x:c r="F13" s="19" t="n">
        <x:f>C13-D13</x:f>
        <x:v>10.85854480156387</x:v>
      </x:c>
      <x:c r="G13" s="19" t="n">
        <x:f>E13-C13</x:f>
        <x:v>4.760702838298823</x:v>
      </x:c>
      <x:c r="H13" s="19" t="n">
        <x:v>986.4815105309208</x:v>
      </x:c>
      <x:c r="I13" s="18" t="n">
        <x:v>84</x:v>
      </x:c>
    </x:row>
    <x:row r="14" ht="22" customHeight="1">
      <x:c r="A14" s="15" t="str">
        <x:v>Республика Корея</x:v>
      </x:c>
      <x:c r="B14" s="15" t="str">
        <x:v>Товар 2024, география 2024</x:v>
      </x:c>
      <x:c r="C14" s="19" t="n">
        <x:v>28.58469854907452</x:v>
      </x:c>
      <x:c r="D14" s="19" t="n">
        <x:v>18.623249397461727</x:v>
      </x:c>
      <x:c r="E14" s="19" t="n">
        <x:v>32.893643479099744</x:v>
      </x:c>
      <x:c r="F14" s="19" t="n">
        <x:f>C14-D14</x:f>
        <x:v>9.961449151612793</x:v>
      </x:c>
      <x:c r="G14" s="19" t="n">
        <x:f>E14-C14</x:f>
        <x:v>4.308944930025223</x:v>
      </x:c>
      <x:c r="H14" s="19" t="n">
        <x:v>817.0849911414632</x:v>
      </x:c>
      <x:c r="I14" s="18" t="n">
        <x:v>84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24" hidden="0" customWidth="1"/>
    <x:col min="4" max="4" width="27" hidden="0" customWidth="1"/>
    <x:col min="5" max="5" width="27" hidden="0" customWidth="1"/>
  </x:cols>
  <x:sheetData>
    <x:row r="1" ht="8" customHeight="1">
      <x:c r="A1" s="2"/>
      <x:c r="B1" s="2"/>
      <x:c r="C1" s="2"/>
      <x:c r="D1" s="2"/>
      <x:c r="E1" s="2"/>
    </x:row>
    <x:row r="2" ht="29" customHeight="1">
      <x:c r="A2" s="4" t="str">
        <x:v>2.10 Разложение изменения дисперсии</x:v>
      </x:c>
      <x:c r="B2" s="5"/>
      <x:c r="C2" s="5"/>
      <x:c r="D2" s="5"/>
      <x:c r="E2" s="5"/>
    </x:row>
    <x:row r="3" ht="22" customHeight="1">
      <x:c r="A3" s="6" t="str">
        <x:v>Дисперсия в п.п.². Товарный и географический вклады Шепли суммируются в полное изменение.</x:v>
      </x:c>
      <x:c r="B3" s="2"/>
      <x:c r="C3" s="2"/>
      <x:c r="D3" s="2"/>
      <x:c r="E3" s="2"/>
    </x:row>
    <x:row r="4" ht="22" customHeight="1">
      <x:c r="A4" s="7" t="str">
        <x:v>Источник: S01</x:v>
      </x:c>
      <x:c r="B4" s="2"/>
      <x:c r="C4" s="2"/>
      <x:c r="D4" s="2"/>
      <x:c r="E4" s="2"/>
    </x:row>
    <x:row r="5" ht="26" customHeight="1">
      <x:c r="A5" s="8" t="str">
        <x:v>Япония</x:v>
      </x:c>
      <x:c r="B5" s="2"/>
      <x:c r="C5" s="2"/>
      <x:c r="D5" s="2"/>
      <x:c r="E5" s="2"/>
    </x:row>
    <x:row r="6" ht="36" customHeight="1">
      <x:c r="A6" s="13" t="str">
        <x:v>Компонент</x:v>
      </x:c>
      <x:c r="B6" s="13" t="str">
        <x:v>Роль</x:v>
      </x:c>
      <x:c r="C6" s="13" t="str">
        <x:v>Оценка, п.п.²</x:v>
      </x:c>
      <x:c r="D6" s="13" t="str">
        <x:v>Нижняя 95%, п.п.²</x:v>
      </x:c>
      <x:c r="E6" s="13" t="str">
        <x:v>Верхняя 95%, п.п.²</x:v>
      </x:c>
    </x:row>
    <x:row r="7" ht="22" customHeight="1">
      <x:c r="A7" s="15" t="str">
        <x:v>Начальная дисперсия</x:v>
      </x:c>
      <x:c r="B7" s="15" t="str">
        <x:v>Итог</x:v>
      </x:c>
      <x:c r="C7" s="19" t="n">
        <x:v>100.73295659044835</x:v>
      </x:c>
      <x:c r="D7" s="21"/>
      <x:c r="E7" s="21"/>
    </x:row>
    <x:row r="8" ht="22" customHeight="1">
      <x:c r="A8" s="15" t="str">
        <x:v>Товарный вклад</x:v>
      </x:c>
      <x:c r="B8" s="15" t="str">
        <x:v>Изменение</x:v>
      </x:c>
      <x:c r="C8" s="19" t="n">
        <x:v>5.168507582394809</x:v>
      </x:c>
      <x:c r="D8" s="19" t="n">
        <x:v>-4.305722746126957</x:v>
      </x:c>
      <x:c r="E8" s="19" t="n">
        <x:v>14.191286095546516</x:v>
      </x:c>
    </x:row>
    <x:row r="9" ht="22" customHeight="1">
      <x:c r="A9" s="15" t="str">
        <x:v>Географический вклад</x:v>
      </x:c>
      <x:c r="B9" s="15" t="str">
        <x:v>Изменение</x:v>
      </x:c>
      <x:c r="C9" s="19" t="n">
        <x:v>-10.413791960714216</x:v>
      </x:c>
      <x:c r="D9" s="19" t="n">
        <x:v>-23.766150773693447</x:v>
      </x:c>
      <x:c r="E9" s="19" t="n">
        <x:v>5.209416906067287</x:v>
      </x:c>
    </x:row>
    <x:row r="10" ht="22" customHeight="1">
      <x:c r="A10" s="15" t="str">
        <x:v>Конечная дисперсия</x:v>
      </x:c>
      <x:c r="B10" s="15" t="str">
        <x:v>Итог</x:v>
      </x:c>
      <x:c r="C10" s="19" t="n">
        <x:v>95.48767221212896</x:v>
      </x:c>
      <x:c r="D10" s="21"/>
      <x:c r="E10" s="21"/>
    </x:row>
    <x:row r="11" ht="22" customHeight="1">
      <x:c r="A11" s="15" t="str">
        <x:v>Полное изменение</x:v>
      </x:c>
      <x:c r="B11" s="15" t="str">
        <x:v>Справочно</x:v>
      </x:c>
      <x:c r="C11" s="19" t="n">
        <x:v>-5.245284378319407</x:v>
      </x:c>
      <x:c r="D11" s="19" t="n">
        <x:v>-24.5614954159377</x:v>
      </x:c>
      <x:c r="E11" s="19" t="n">
        <x:v>16.91982781296865</x:v>
      </x:c>
    </x:row>
    <x:row r="12" ht="22" customHeight="1">
      <x:c r="A12" s="2"/>
      <x:c r="B12" s="2"/>
      <x:c r="C12" s="2"/>
      <x:c r="D12" s="2"/>
      <x:c r="E12" s="2"/>
    </x:row>
    <x:row r="13" ht="22" customHeight="1">
      <x:c r="A13" s="2"/>
      <x:c r="B13" s="2"/>
      <x:c r="C13" s="2"/>
      <x:c r="D13" s="2"/>
      <x:c r="E13" s="2"/>
    </x:row>
    <x:row r="14" ht="26" customHeight="1">
      <x:c r="A14" s="8" t="str">
        <x:v>Республика Корея</x:v>
      </x:c>
      <x:c r="B14" s="2"/>
      <x:c r="C14" s="2"/>
      <x:c r="D14" s="2"/>
      <x:c r="E14" s="2"/>
    </x:row>
    <x:row r="15" ht="36" customHeight="1">
      <x:c r="A15" s="13" t="str">
        <x:v>Компонент</x:v>
      </x:c>
      <x:c r="B15" s="13" t="str">
        <x:v>Роль</x:v>
      </x:c>
      <x:c r="C15" s="13" t="str">
        <x:v>Оценка, п.п.²</x:v>
      </x:c>
      <x:c r="D15" s="13" t="str">
        <x:v>Нижняя 95%, п.п.²</x:v>
      </x:c>
      <x:c r="E15" s="13" t="str">
        <x:v>Верхняя 95%, п.п.²</x:v>
      </x:c>
    </x:row>
    <x:row r="16" ht="22" customHeight="1">
      <x:c r="A16" s="15" t="str">
        <x:v>Начальная дисперсия</x:v>
      </x:c>
      <x:c r="B16" s="15" t="str">
        <x:v>Итог</x:v>
      </x:c>
      <x:c r="C16" s="19" t="n">
        <x:v>891.1629341069804</x:v>
      </x:c>
      <x:c r="D16" s="21"/>
      <x:c r="E16" s="21"/>
    </x:row>
    <x:row r="17" ht="22" customHeight="1">
      <x:c r="A17" s="15" t="str">
        <x:v>Товарный вклад</x:v>
      </x:c>
      <x:c r="B17" s="15" t="str">
        <x:v>Изменение</x:v>
      </x:c>
      <x:c r="C17" s="19" t="n">
        <x:v>-172.91657099893374</x:v>
      </x:c>
      <x:c r="D17" s="19" t="n">
        <x:v>-241.2330757278984</x:v>
      </x:c>
      <x:c r="E17" s="19" t="n">
        <x:v>-67.53707961281809</x:v>
      </x:c>
    </x:row>
    <x:row r="18" ht="22" customHeight="1">
      <x:c r="A18" s="15" t="str">
        <x:v>Географический вклад</x:v>
      </x:c>
      <x:c r="B18" s="15" t="str">
        <x:v>Изменение</x:v>
      </x:c>
      <x:c r="C18" s="19" t="n">
        <x:v>98.8386280334165</x:v>
      </x:c>
      <x:c r="D18" s="19" t="n">
        <x:v>-1.670893314513437</x:v>
      </x:c>
      <x:c r="E18" s="19" t="n">
        <x:v>168.51539061577097</x:v>
      </x:c>
    </x:row>
    <x:row r="19" ht="22" customHeight="1">
      <x:c r="A19" s="15" t="str">
        <x:v>Конечная дисперсия</x:v>
      </x:c>
      <x:c r="B19" s="15" t="str">
        <x:v>Итог</x:v>
      </x:c>
      <x:c r="C19" s="19" t="n">
        <x:v>817.0849911414632</x:v>
      </x:c>
      <x:c r="D19" s="21"/>
      <x:c r="E19" s="21"/>
    </x:row>
    <x:row r="20" ht="22" customHeight="1">
      <x:c r="A20" s="15" t="str">
        <x:v>Полное изменение</x:v>
      </x:c>
      <x:c r="B20" s="15" t="str">
        <x:v>Справочно</x:v>
      </x:c>
      <x:c r="C20" s="19" t="n">
        <x:v>-74.07794296551722</x:v>
      </x:c>
      <x:c r="D20" s="19" t="n">
        <x:v>-172.7512904639105</x:v>
      </x:c>
      <x:c r="E20" s="19" t="n">
        <x:v>21.560415465871756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4" hidden="0" customWidth="1"/>
    <x:col min="4" max="4" width="27" hidden="0" customWidth="1"/>
    <x:col min="5" max="5" width="27" hidden="0" customWidth="1"/>
  </x:cols>
  <x:sheetData>
    <x:row r="1" ht="8" customHeight="1">
      <x:c r="A1" s="2"/>
      <x:c r="B1" s="2"/>
      <x:c r="C1" s="2"/>
      <x:c r="D1" s="2"/>
      <x:c r="E1" s="2"/>
    </x:row>
    <x:row r="2" ht="29" customHeight="1">
      <x:c r="A2" s="4" t="str">
        <x:v>2.11 Доля памяти и состав продукции вне памяти</x:v>
      </x:c>
      <x:c r="B2" s="5"/>
      <x:c r="C2" s="5"/>
      <x:c r="D2" s="5"/>
      <x:c r="E2" s="5"/>
    </x:row>
    <x:row r="3" ht="22" customHeight="1">
      <x:c r="A3" s="6" t="str">
        <x:v>Два компонента товарного вклада. Исследовательское разложение с 95% точечными интервалами, блок 12.</x:v>
      </x:c>
      <x:c r="B3" s="2"/>
      <x:c r="C3" s="2"/>
      <x:c r="D3" s="2"/>
      <x:c r="E3" s="2"/>
    </x:row>
    <x:row r="4" ht="22" customHeight="1">
      <x:c r="A4" s="7" t="str">
        <x:v>Источник: S01</x:v>
      </x:c>
      <x:c r="B4" s="2"/>
      <x:c r="C4" s="2"/>
      <x:c r="D4" s="2"/>
      <x:c r="E4" s="2"/>
    </x:row>
    <x:row r="5" ht="26" customHeight="1">
      <x:c r="A5" s="8" t="str">
        <x:v>Компоненты</x:v>
      </x:c>
      <x:c r="B5" s="2"/>
      <x:c r="C5" s="2"/>
      <x:c r="D5" s="2"/>
      <x:c r="E5" s="2"/>
    </x:row>
    <x:row r="6" ht="36" customHeight="1">
      <x:c r="A6" s="13" t="str">
        <x:v>Страна</x:v>
      </x:c>
      <x:c r="B6" s="13" t="str">
        <x:v>Компонент</x:v>
      </x:c>
      <x:c r="C6" s="13" t="str">
        <x:v>Вклад, п.п.²</x:v>
      </x:c>
      <x:c r="D6" s="13" t="str">
        <x:v>Нижняя 95%, п.п.²</x:v>
      </x:c>
      <x:c r="E6" s="13" t="str">
        <x:v>Верхняя 95%, п.п.²</x:v>
      </x:c>
    </x:row>
    <x:row r="7" ht="22" customHeight="1">
      <x:c r="A7" s="15" t="str">
        <x:v>Япония</x:v>
      </x:c>
      <x:c r="B7" s="15" t="str">
        <x:v>Изменение доли памяти</x:v>
      </x:c>
      <x:c r="C7" s="19" t="n">
        <x:v>5.87711895425779</x:v>
      </x:c>
      <x:c r="D7" s="19" t="n">
        <x:v>0.96916448383345</x:v>
      </x:c>
      <x:c r="E7" s="19" t="n">
        <x:v>8.946697741205778</x:v>
      </x:c>
    </x:row>
    <x:row r="8" ht="22" customHeight="1">
      <x:c r="A8" s="15" t="str">
        <x:v>Япония</x:v>
      </x:c>
      <x:c r="B8" s="15" t="str">
        <x:v>Состав продукции вне памяти</x:v>
      </x:c>
      <x:c r="C8" s="19" t="n">
        <x:v>-0.708611371862981</x:v>
      </x:c>
      <x:c r="D8" s="19" t="n">
        <x:v>-7.863590825437628</x:v>
      </x:c>
      <x:c r="E8" s="19" t="n">
        <x:v>6.73515776507524</x:v>
      </x:c>
    </x:row>
    <x:row r="9" ht="22" customHeight="1">
      <x:c r="A9" s="15" t="str">
        <x:v>Республика Корея</x:v>
      </x:c>
      <x:c r="B9" s="15" t="str">
        <x:v>Изменение доли памяти</x:v>
      </x:c>
      <x:c r="C9" s="19" t="n">
        <x:v>-165.17755167709092</x:v>
      </x:c>
      <x:c r="D9" s="19" t="n">
        <x:v>-228.22271851058937</x:v>
      </x:c>
      <x:c r="E9" s="19" t="n">
        <x:v>-66.29181434632478</x:v>
      </x:c>
    </x:row>
    <x:row r="10" ht="22" customHeight="1">
      <x:c r="A10" s="15" t="str">
        <x:v>Республика Корея</x:v>
      </x:c>
      <x:c r="B10" s="15" t="str">
        <x:v>Состав продукции вне памяти</x:v>
      </x:c>
      <x:c r="C10" s="19" t="n">
        <x:v>-7.739019321842816</x:v>
      </x:c>
      <x:c r="D10" s="19" t="n">
        <x:v>-17.691764811037775</x:v>
      </x:c>
      <x:c r="E10" s="19" t="n">
        <x:v>3.218630648949361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24" hidden="0" customWidth="1"/>
    <x:col min="4" max="4" width="27" hidden="0" customWidth="1"/>
    <x:col min="5" max="5" width="27" hidden="0" customWidth="1"/>
  </x:cols>
  <x:sheetData>
    <x:row r="1" ht="8" customHeight="1">
      <x:c r="A1" s="2"/>
      <x:c r="B1" s="2"/>
      <x:c r="C1" s="2"/>
      <x:c r="D1" s="2"/>
      <x:c r="E1" s="2"/>
    </x:row>
    <x:row r="2" ht="29" customHeight="1">
      <x:c r="A2" s="4" t="str">
        <x:v>2.12 Источники географического вклада</x:v>
      </x:c>
      <x:c r="B2" s="5"/>
      <x:c r="C2" s="5"/>
      <x:c r="D2" s="5"/>
      <x:c r="E2" s="5"/>
    </x:row>
    <x:row r="3" ht="22" customHeight="1">
      <x:c r="A3" s="6" t="str">
        <x:v>Собственные дисперсии и перекрёстные ковариации. Интервалы отдельных компонент не складываются.</x:v>
      </x:c>
      <x:c r="B3" s="2"/>
      <x:c r="C3" s="2"/>
      <x:c r="D3" s="2"/>
      <x:c r="E3" s="2"/>
    </x:row>
    <x:row r="4" ht="22" customHeight="1">
      <x:c r="A4" s="7" t="str">
        <x:v>Источник: S01</x:v>
      </x:c>
      <x:c r="B4" s="2"/>
      <x:c r="C4" s="2"/>
      <x:c r="D4" s="2"/>
      <x:c r="E4" s="2"/>
    </x:row>
    <x:row r="5" ht="26" customHeight="1">
      <x:c r="A5" s="8" t="str">
        <x:v>Компоненты</x:v>
      </x:c>
      <x:c r="B5" s="2"/>
      <x:c r="C5" s="2"/>
      <x:c r="D5" s="2"/>
      <x:c r="E5" s="2"/>
    </x:row>
    <x:row r="6" ht="36" customHeight="1">
      <x:c r="A6" s="13" t="str">
        <x:v>Страна</x:v>
      </x:c>
      <x:c r="B6" s="13" t="str">
        <x:v>Компонент</x:v>
      </x:c>
      <x:c r="C6" s="13" t="str">
        <x:v>Вклад, п.п.²</x:v>
      </x:c>
      <x:c r="D6" s="13" t="str">
        <x:v>Нижняя 95%, п.п.²</x:v>
      </x:c>
      <x:c r="E6" s="13" t="str">
        <x:v>Верхняя 95%, п.п.²</x:v>
      </x:c>
    </x:row>
    <x:row r="7" ht="22" customHeight="1">
      <x:c r="A7" s="15" t="str">
        <x:v>Япония</x:v>
      </x:c>
      <x:c r="B7" s="15" t="str">
        <x:v>Собственные дисперсии</x:v>
      </x:c>
      <x:c r="C7" s="19" t="n">
        <x:v>-0.279336014320751</x:v>
      </x:c>
      <x:c r="D7" s="19" t="n">
        <x:v>-8.528926581354192</x:v>
      </x:c>
      <x:c r="E7" s="19" t="n">
        <x:v>6.211349417321855</x:v>
      </x:c>
    </x:row>
    <x:row r="8" ht="22" customHeight="1">
      <x:c r="A8" s="15" t="str">
        <x:v>Япония</x:v>
      </x:c>
      <x:c r="B8" s="15" t="str">
        <x:v>Перекрёстные ковариации</x:v>
      </x:c>
      <x:c r="C8" s="19" t="n">
        <x:v>-10.134455946393464</x:v>
      </x:c>
      <x:c r="D8" s="19" t="n">
        <x:v>-19.74198744446722</x:v>
      </x:c>
      <x:c r="E8" s="19" t="n">
        <x:v>3.805648145349229</x:v>
      </x:c>
    </x:row>
    <x:row r="9" ht="22" customHeight="1">
      <x:c r="A9" s="15" t="str">
        <x:v>Япония</x:v>
      </x:c>
      <x:c r="B9" s="15" t="str">
        <x:v>Географический вклад, всего</x:v>
      </x:c>
      <x:c r="C9" s="19" t="n">
        <x:v>-10.413791960714216</x:v>
      </x:c>
      <x:c r="D9" s="19" t="n">
        <x:v>-23.766150773693447</x:v>
      </x:c>
      <x:c r="E9" s="19" t="n">
        <x:v>5.209416906067287</x:v>
      </x:c>
    </x:row>
    <x:row r="10" ht="22" customHeight="1">
      <x:c r="A10" s="15" t="str">
        <x:v>Республика Корея</x:v>
      </x:c>
      <x:c r="B10" s="15" t="str">
        <x:v>Собственные дисперсии</x:v>
      </x:c>
      <x:c r="C10" s="19" t="n">
        <x:v>-34.72862436499021</x:v>
      </x:c>
      <x:c r="D10" s="19" t="n">
        <x:v>-67.96874192410812</x:v>
      </x:c>
      <x:c r="E10" s="19" t="n">
        <x:v>1.496328236973224</x:v>
      </x:c>
    </x:row>
    <x:row r="11" ht="22" customHeight="1">
      <x:c r="A11" s="15" t="str">
        <x:v>Республика Корея</x:v>
      </x:c>
      <x:c r="B11" s="15" t="str">
        <x:v>Перекрёстные ковариации</x:v>
      </x:c>
      <x:c r="C11" s="19" t="n">
        <x:v>133.5672523984067</x:v>
      </x:c>
      <x:c r="D11" s="19" t="n">
        <x:v>24.21798879183152</x:v>
      </x:c>
      <x:c r="E11" s="19" t="n">
        <x:v>204.5007823759409</x:v>
      </x:c>
    </x:row>
    <x:row r="12" ht="22" customHeight="1">
      <x:c r="A12" s="15" t="str">
        <x:v>Республика Корея</x:v>
      </x:c>
      <x:c r="B12" s="15" t="str">
        <x:v>Географический вклад, всего</x:v>
      </x:c>
      <x:c r="C12" s="19" t="n">
        <x:v>98.8386280334165</x:v>
      </x:c>
      <x:c r="D12" s="19" t="n">
        <x:v>-1.670893314513437</x:v>
      </x:c>
      <x:c r="E12" s="19" t="n">
        <x:v>168.51539061577097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2" hidden="0" customWidth="1"/>
    <x:col min="4" max="4" width="24" hidden="0" customWidth="1"/>
    <x:col min="5" max="5" width="27" hidden="0" customWidth="1"/>
    <x:col min="6" max="6" width="27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9" customHeight="1">
      <x:c r="A2" s="4" t="str">
        <x:v>2.13 Географический вклад по направлениям</x:v>
      </x:c>
      <x:c r="B2" s="5"/>
      <x:c r="C2" s="5"/>
      <x:c r="D2" s="5"/>
      <x:c r="E2" s="5"/>
      <x:c r="F2" s="5"/>
    </x:row>
    <x:row r="3" ht="22" customHeight="1">
      <x:c r="A3" s="6" t="str">
        <x:v>Исследовательские 95% точечные интервалы без поправки на множественные сравнения. Блок 12 месяцев.</x:v>
      </x:c>
      <x:c r="B3" s="2"/>
      <x:c r="C3" s="2"/>
      <x:c r="D3" s="2"/>
      <x:c r="E3" s="2"/>
      <x:c r="F3" s="2"/>
    </x:row>
    <x:row r="4" ht="22" customHeight="1">
      <x:c r="A4" s="7" t="str">
        <x:v>Источник: S01</x:v>
      </x:c>
      <x:c r="B4" s="2"/>
      <x:c r="C4" s="2"/>
      <x:c r="D4" s="2"/>
      <x:c r="E4" s="2"/>
      <x:c r="F4" s="2"/>
    </x:row>
    <x:row r="5" ht="26" customHeight="1">
      <x:c r="A5" s="8" t="str">
        <x:v>Вклады</x:v>
      </x:c>
      <x:c r="B5" s="2"/>
      <x:c r="C5" s="2"/>
      <x:c r="D5" s="2"/>
      <x:c r="E5" s="2"/>
      <x:c r="F5" s="2"/>
    </x:row>
    <x:row r="6" ht="36" customHeight="1">
      <x:c r="A6" s="13" t="str">
        <x:v>Страна</x:v>
      </x:c>
      <x:c r="B6" s="13" t="str">
        <x:v>Направление</x:v>
      </x:c>
      <x:c r="C6" s="13" t="str">
        <x:v>Код</x:v>
      </x:c>
      <x:c r="D6" s="13" t="str">
        <x:v>Вклад, п.п.²</x:v>
      </x:c>
      <x:c r="E6" s="13" t="str">
        <x:v>Нижняя 95%, п.п.²</x:v>
      </x:c>
      <x:c r="F6" s="13" t="str">
        <x:v>Верхняя 95%, п.п.²</x:v>
      </x:c>
    </x:row>
    <x:row r="7" ht="22" customHeight="1">
      <x:c r="A7" s="15" t="str">
        <x:v>Япония</x:v>
      </x:c>
      <x:c r="B7" s="15" t="str">
        <x:v>Китай</x:v>
      </x:c>
      <x:c r="C7" s="15" t="str">
        <x:v>156</x:v>
      </x:c>
      <x:c r="D7" s="19" t="n">
        <x:v>-17.987337401899673</x:v>
      </x:c>
      <x:c r="E7" s="19" t="n">
        <x:v>-24.1081286843882</x:v>
      </x:c>
      <x:c r="F7" s="19" t="n">
        <x:v>-10.69300972996206</x:v>
      </x:c>
    </x:row>
    <x:row r="8" ht="22" customHeight="1">
      <x:c r="A8" s="15" t="str">
        <x:v>Япония</x:v>
      </x:c>
      <x:c r="B8" s="15" t="str">
        <x:v>Гонконг</x:v>
      </x:c>
      <x:c r="C8" s="15" t="str">
        <x:v>344</x:v>
      </x:c>
      <x:c r="D8" s="19" t="n">
        <x:v>-2.575184513288657</x:v>
      </x:c>
      <x:c r="E8" s="19" t="n">
        <x:v>-6.37912219204333</x:v>
      </x:c>
      <x:c r="F8" s="19" t="n">
        <x:v>1.214064710225146</x:v>
      </x:c>
    </x:row>
    <x:row r="9" ht="22" customHeight="1">
      <x:c r="A9" s="15" t="str">
        <x:v>Япония</x:v>
      </x:c>
      <x:c r="B9" s="15" t="str">
        <x:v>Прочая Азия, н.в.д. (490)</x:v>
      </x:c>
      <x:c r="C9" s="15" t="str">
        <x:v>490</x:v>
      </x:c>
      <x:c r="D9" s="19" t="n">
        <x:v>9.698875785144304</x:v>
      </x:c>
      <x:c r="E9" s="19" t="n">
        <x:v>4.277764099685969</x:v>
      </x:c>
      <x:c r="F9" s="19" t="n">
        <x:v>13.947244521358884</x:v>
      </x:c>
    </x:row>
    <x:row r="10" ht="22" customHeight="1">
      <x:c r="A10" s="15" t="str">
        <x:v>Япония</x:v>
      </x:c>
      <x:c r="B10" s="15" t="str">
        <x:v>Вьетнам</x:v>
      </x:c>
      <x:c r="C10" s="15" t="str">
        <x:v>704</x:v>
      </x:c>
      <x:c r="D10" s="19" t="n">
        <x:v>4.469111908133426</x:v>
      </x:c>
      <x:c r="E10" s="19" t="n">
        <x:v>0.288117166169178</x:v>
      </x:c>
      <x:c r="F10" s="19" t="n">
        <x:v>9.625328414882317</x:v>
      </x:c>
    </x:row>
    <x:row r="11" ht="22" customHeight="1">
      <x:c r="A11" s="15" t="str">
        <x:v>Япония</x:v>
      </x:c>
      <x:c r="B11" s="15" t="str">
        <x:v>Сингапур</x:v>
      </x:c>
      <x:c r="C11" s="15" t="str">
        <x:v>702</x:v>
      </x:c>
      <x:c r="D11" s="19" t="n">
        <x:v>1.320384058020718</x:v>
      </x:c>
      <x:c r="E11" s="19" t="n">
        <x:v>-2.420671447013499</x:v>
      </x:c>
      <x:c r="F11" s="19" t="n">
        <x:v>4.909390837311043</x:v>
      </x:c>
    </x:row>
    <x:row r="12" ht="22" customHeight="1">
      <x:c r="A12" s="15" t="str">
        <x:v>Япония</x:v>
      </x:c>
      <x:c r="B12" s="15" t="str">
        <x:v>Филиппины</x:v>
      </x:c>
      <x:c r="C12" s="15" t="str">
        <x:v>608</x:v>
      </x:c>
      <x:c r="D12" s="19" t="n">
        <x:v>-0.024710553402678</x:v>
      </x:c>
      <x:c r="E12" s="19" t="n">
        <x:v>-4.083663848681933</x:v>
      </x:c>
      <x:c r="F12" s="19" t="n">
        <x:v>4.14934716649418</x:v>
      </x:c>
    </x:row>
    <x:row r="13" ht="22" customHeight="1">
      <x:c r="A13" s="15" t="str">
        <x:v>Япония</x:v>
      </x:c>
      <x:c r="B13" s="15" t="str">
        <x:v>США</x:v>
      </x:c>
      <x:c r="C13" s="15" t="str">
        <x:v>842</x:v>
      </x:c>
      <x:c r="D13" s="19" t="n">
        <x:v>-0.929834477892877</x:v>
      </x:c>
      <x:c r="E13" s="19" t="n">
        <x:v>-1.731428814258737</x:v>
      </x:c>
      <x:c r="F13" s="19" t="n">
        <x:v>-0.022878889996239</x:v>
      </x:c>
    </x:row>
    <x:row r="14" ht="22" customHeight="1">
      <x:c r="A14" s="15" t="str">
        <x:v>Япония</x:v>
      </x:c>
      <x:c r="B14" s="15" t="str">
        <x:v>Таиланд</x:v>
      </x:c>
      <x:c r="C14" s="15" t="str">
        <x:v>764</x:v>
      </x:c>
      <x:c r="D14" s="19" t="n">
        <x:v>-2.822064264045779</x:v>
      </x:c>
      <x:c r="E14" s="19" t="n">
        <x:v>-4.427340045809556</x:v>
      </x:c>
      <x:c r="F14" s="19" t="n">
        <x:v>0.053435064558825</x:v>
      </x:c>
    </x:row>
    <x:row r="15" ht="22" customHeight="1">
      <x:c r="A15" s="15" t="str">
        <x:v>Япония</x:v>
      </x:c>
      <x:c r="B15" s="15" t="str">
        <x:v>Остальные направления</x:v>
      </x:c>
      <x:c r="C15" s="15" t="str">
        <x:v>-1</x:v>
      </x:c>
      <x:c r="D15" s="19" t="n">
        <x:v>-1.563032501483034</x:v>
      </x:c>
      <x:c r="E15" s="19" t="n">
        <x:v>-5.418707546226556</x:v>
      </x:c>
      <x:c r="F15" s="19" t="n">
        <x:v>2.051156681230701</x:v>
      </x:c>
    </x:row>
    <x:row r="16" ht="22" customHeight="1">
      <x:c r="A16" s="15" t="str">
        <x:v>Республика Корея</x:v>
      </x:c>
      <x:c r="B16" s="15" t="str">
        <x:v>Китай</x:v>
      </x:c>
      <x:c r="C16" s="15" t="str">
        <x:v>156</x:v>
      </x:c>
      <x:c r="D16" s="19" t="n">
        <x:v>-116.61447855151565</x:v>
      </x:c>
      <x:c r="E16" s="19" t="n">
        <x:v>-164.40731086192466</x:v>
      </x:c>
      <x:c r="F16" s="19" t="n">
        <x:v>-36.45434334940917</x:v>
      </x:c>
    </x:row>
    <x:row r="17" ht="22" customHeight="1">
      <x:c r="A17" s="15" t="str">
        <x:v>Республика Корея</x:v>
      </x:c>
      <x:c r="B17" s="15" t="str">
        <x:v>Гонконг</x:v>
      </x:c>
      <x:c r="C17" s="15" t="str">
        <x:v>344</x:v>
      </x:c>
      <x:c r="D17" s="19" t="n">
        <x:v>-163.88002888164831</x:v>
      </x:c>
      <x:c r="E17" s="19" t="n">
        <x:v>-224.45549402045697</x:v>
      </x:c>
      <x:c r="F17" s="19" t="n">
        <x:v>-75.28188080895565</x:v>
      </x:c>
    </x:row>
    <x:row r="18" ht="22" customHeight="1">
      <x:c r="A18" s="15" t="str">
        <x:v>Республика Корея</x:v>
      </x:c>
      <x:c r="B18" s="15" t="str">
        <x:v>Прочая Азия, н.в.д. (490)</x:v>
      </x:c>
      <x:c r="C18" s="15" t="str">
        <x:v>490</x:v>
      </x:c>
      <x:c r="D18" s="19" t="n">
        <x:v>368.9332135504394</x:v>
      </x:c>
      <x:c r="E18" s="19" t="n">
        <x:v>131.25521280716052</x:v>
      </x:c>
      <x:c r="F18" s="19" t="n">
        <x:v>497.44816625737576</x:v>
      </x:c>
    </x:row>
    <x:row r="19" ht="22" customHeight="1">
      <x:c r="A19" s="15" t="str">
        <x:v>Республика Корея</x:v>
      </x:c>
      <x:c r="B19" s="15" t="str">
        <x:v>Вьетнам</x:v>
      </x:c>
      <x:c r="C19" s="15" t="str">
        <x:v>704</x:v>
      </x:c>
      <x:c r="D19" s="19" t="n">
        <x:v>63.17123735995151</x:v>
      </x:c>
      <x:c r="E19" s="19" t="n">
        <x:v>21.834693203357347</x:v>
      </x:c>
      <x:c r="F19" s="19" t="n">
        <x:v>95.42261823403705</x:v>
      </x:c>
    </x:row>
    <x:row r="20" ht="22" customHeight="1">
      <x:c r="A20" s="15" t="str">
        <x:v>Республика Корея</x:v>
      </x:c>
      <x:c r="B20" s="15" t="str">
        <x:v>Сингапур</x:v>
      </x:c>
      <x:c r="C20" s="15" t="str">
        <x:v>702</x:v>
      </x:c>
      <x:c r="D20" s="19" t="n">
        <x:v>-4.137748237515843</x:v>
      </x:c>
      <x:c r="E20" s="19" t="n">
        <x:v>-10.07722713593695</x:v>
      </x:c>
      <x:c r="F20" s="19" t="n">
        <x:v>1.309855364848551</x:v>
      </x:c>
    </x:row>
    <x:row r="21" ht="22" customHeight="1">
      <x:c r="A21" s="15" t="str">
        <x:v>Республика Корея</x:v>
      </x:c>
      <x:c r="B21" s="15" t="str">
        <x:v>Филиппины</x:v>
      </x:c>
      <x:c r="C21" s="15" t="str">
        <x:v>608</x:v>
      </x:c>
      <x:c r="D21" s="19" t="n">
        <x:v>-78.75498711018368</x:v>
      </x:c>
      <x:c r="E21" s="19" t="n">
        <x:v>-102.56485823171526</x:v>
      </x:c>
      <x:c r="F21" s="19" t="n">
        <x:v>-26.08867455504644</x:v>
      </x:c>
    </x:row>
    <x:row r="22" ht="22" customHeight="1">
      <x:c r="A22" s="15" t="str">
        <x:v>Республика Корея</x:v>
      </x:c>
      <x:c r="B22" s="15" t="str">
        <x:v>США</x:v>
      </x:c>
      <x:c r="C22" s="15" t="str">
        <x:v>842</x:v>
      </x:c>
      <x:c r="D22" s="19" t="n">
        <x:v>6.786722922983058</x:v>
      </x:c>
      <x:c r="E22" s="19" t="n">
        <x:v>-0.415262349612742</x:v>
      </x:c>
      <x:c r="F22" s="19" t="n">
        <x:v>13.503962847761349</x:v>
      </x:c>
    </x:row>
    <x:row r="23" ht="22" customHeight="1">
      <x:c r="A23" s="15" t="str">
        <x:v>Республика Корея</x:v>
      </x:c>
      <x:c r="B23" s="15" t="str">
        <x:v>Таиланд</x:v>
      </x:c>
      <x:c r="C23" s="15" t="str">
        <x:v>764</x:v>
      </x:c>
      <x:c r="D23" s="19" t="n">
        <x:v>-1.807788908283098</x:v>
      </x:c>
      <x:c r="E23" s="19" t="n">
        <x:v>-2.892482750305889</x:v>
      </x:c>
      <x:c r="F23" s="19" t="n">
        <x:v>-0.317031639698081</x:v>
      </x:c>
    </x:row>
    <x:row r="24" ht="22" customHeight="1">
      <x:c r="A24" s="15" t="str">
        <x:v>Республика Корея</x:v>
      </x:c>
      <x:c r="B24" s="15" t="str">
        <x:v>Остальные направления</x:v>
      </x:c>
      <x:c r="C24" s="15" t="str">
        <x:v>-1</x:v>
      </x:c>
      <x:c r="D24" s="19" t="n">
        <x:v>25.142485889190933</x:v>
      </x:c>
      <x:c r="E24" s="19" t="n">
        <x:v>11.147251572522158</x:v>
      </x:c>
      <x:c r="F24" s="19" t="n">
        <x:v>34.67330491376787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5" hidden="0" customWidth="1"/>
    <x:col min="4" max="4" width="24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</x:row>
    <x:row r="2" ht="29" customHeight="1">
      <x:c r="A2" s="4" t="str">
        <x:v>2.14 Чувствительность к исключению одного года</x:v>
      </x:c>
      <x:c r="B2" s="5"/>
      <x:c r="C2" s="5"/>
      <x:c r="D2" s="5"/>
      <x:c r="E2" s="5"/>
      <x:c r="F2" s="5"/>
      <x:c r="G2" s="5"/>
    </x:row>
    <x:row r="3" ht="22" customHeight="1">
      <x:c r="A3" s="6" t="str">
        <x:v>В каждом варианте 72 месяца вместо 84. Границы интервалов здесь не оценивались.</x:v>
      </x:c>
      <x:c r="B3" s="2"/>
      <x:c r="C3" s="2"/>
      <x:c r="D3" s="2"/>
      <x:c r="E3" s="2"/>
      <x:c r="F3" s="2"/>
      <x:c r="G3" s="2"/>
    </x:row>
    <x:row r="4" ht="22" customHeight="1">
      <x:c r="A4" s="7" t="str">
        <x:v>Источник: S01</x:v>
      </x:c>
      <x:c r="B4" s="2"/>
      <x:c r="C4" s="2"/>
      <x:c r="D4" s="2"/>
      <x:c r="E4" s="2"/>
      <x:c r="F4" s="2"/>
      <x:c r="G4" s="2"/>
    </x:row>
    <x:row r="5" ht="26" customHeight="1">
      <x:c r="A5" s="8" t="str">
        <x:v>Оценки при исключении года</x:v>
      </x:c>
      <x:c r="B5" s="2"/>
      <x:c r="C5" s="2"/>
      <x:c r="D5" s="2"/>
      <x:c r="E5" s="2"/>
      <x:c r="F5" s="2"/>
      <x:c r="G5" s="2"/>
    </x:row>
    <x:row r="6" ht="36" customHeight="1">
      <x:c r="A6" s="13" t="str">
        <x:v>Страна</x:v>
      </x:c>
      <x:c r="B6" s="13" t="str">
        <x:v>Исключённый год</x:v>
      </x:c>
      <x:c r="C6" s="13" t="str">
        <x:v>Месяцев</x:v>
      </x:c>
      <x:c r="D6" s="13" t="str">
        <x:v>ΔSD, п.п.</x:v>
      </x:c>
      <x:c r="E6" s="13" t="str">
        <x:v>Основная ΔSD, п.п.</x:v>
      </x:c>
      <x:c r="F6" s="13" t="str">
        <x:v>Товарный вклад, п.п.²</x:v>
      </x:c>
      <x:c r="G6" s="13" t="str">
        <x:v>География, п.п.²</x:v>
      </x:c>
    </x:row>
    <x:row r="7" ht="22" customHeight="1">
      <x:c r="A7" s="15" t="str">
        <x:v>Япония</x:v>
      </x:c>
      <x:c r="B7" s="18" t="n">
        <x:v>2018</x:v>
      </x:c>
      <x:c r="C7" s="18" t="n">
        <x:v>72</x:v>
      </x:c>
      <x:c r="D7" s="19" t="n">
        <x:v>-0.327501011381157</x:v>
      </x:c>
      <x:c r="E7" s="19" t="n">
        <x:v>-0.264801543341206</x:v>
      </x:c>
      <x:c r="F7" s="19" t="n">
        <x:v>5.251598249843515</x:v>
      </x:c>
      <x:c r="G7" s="19" t="n">
        <x:v>-11.986846056478264</x:v>
      </x:c>
    </x:row>
    <x:row r="8" ht="22" customHeight="1">
      <x:c r="A8" s="15" t="str">
        <x:v>Япония</x:v>
      </x:c>
      <x:c r="B8" s="18" t="n">
        <x:v>2019</x:v>
      </x:c>
      <x:c r="C8" s="18" t="n">
        <x:v>72</x:v>
      </x:c>
      <x:c r="D8" s="19" t="n">
        <x:v>-0.056825633089626</x:v>
      </x:c>
      <x:c r="E8" s="19" t="n">
        <x:v>-0.264801543341206</x:v>
      </x:c>
      <x:c r="F8" s="19" t="n">
        <x:v>6.770571986005648</x:v>
      </x:c>
      <x:c r="G8" s="19" t="n">
        <x:v>-7.906729871450159</x:v>
      </x:c>
    </x:row>
    <x:row r="9" ht="22" customHeight="1">
      <x:c r="A9" s="15" t="str">
        <x:v>Япония</x:v>
      </x:c>
      <x:c r="B9" s="18" t="n">
        <x:v>2020</x:v>
      </x:c>
      <x:c r="C9" s="18" t="n">
        <x:v>72</x:v>
      </x:c>
      <x:c r="D9" s="19" t="n">
        <x:v>-0.310391473972806</x:v>
      </x:c>
      <x:c r="E9" s="19" t="n">
        <x:v>-0.264801543341206</x:v>
      </x:c>
      <x:c r="F9" s="19" t="n">
        <x:v>5.685935889068114</x:v>
      </x:c>
      <x:c r="G9" s="19" t="n">
        <x:v>-11.99234000484389</x:v>
      </x:c>
    </x:row>
    <x:row r="10" ht="22" customHeight="1">
      <x:c r="A10" s="15" t="str">
        <x:v>Япония</x:v>
      </x:c>
      <x:c r="B10" s="18" t="n">
        <x:v>2021</x:v>
      </x:c>
      <x:c r="C10" s="18" t="n">
        <x:v>72</x:v>
      </x:c>
      <x:c r="D10" s="19" t="n">
        <x:v>0.437737919619617</x:v>
      </x:c>
      <x:c r="E10" s="19" t="n">
        <x:v>-0.264801543341206</x:v>
      </x:c>
      <x:c r="F10" s="19" t="n">
        <x:v>9.86620279472889</x:v>
      </x:c>
      <x:c r="G10" s="19" t="n">
        <x:v>-1.711647140137064</x:v>
      </x:c>
    </x:row>
    <x:row r="11" ht="22" customHeight="1">
      <x:c r="A11" s="15" t="str">
        <x:v>Япония</x:v>
      </x:c>
      <x:c r="B11" s="18" t="n">
        <x:v>2022</x:v>
      </x:c>
      <x:c r="C11" s="18" t="n">
        <x:v>72</x:v>
      </x:c>
      <x:c r="D11" s="19" t="n">
        <x:v>-0.3276439352389</x:v>
      </x:c>
      <x:c r="E11" s="19" t="n">
        <x:v>-0.264801543341206</x:v>
      </x:c>
      <x:c r="F11" s="19" t="n">
        <x:v>3.630978298297654</x:v>
      </x:c>
      <x:c r="G11" s="19" t="n">
        <x:v>-10.164418649526615</x:v>
      </x:c>
    </x:row>
    <x:row r="12" ht="22" customHeight="1">
      <x:c r="A12" s="15" t="str">
        <x:v>Япония</x:v>
      </x:c>
      <x:c r="B12" s="18" t="n">
        <x:v>2023</x:v>
      </x:c>
      <x:c r="C12" s="18" t="n">
        <x:v>72</x:v>
      </x:c>
      <x:c r="D12" s="19" t="n">
        <x:v>-0.515530021230177</x:v>
      </x:c>
      <x:c r="E12" s="19" t="n">
        <x:v>-0.264801543341206</x:v>
      </x:c>
      <x:c r="F12" s="19" t="n">
        <x:v>2.2516208712504</x:v>
      </x:c>
      <x:c r="G12" s="19" t="n">
        <x:v>-11.862217614405116</x:v>
      </x:c>
    </x:row>
    <x:row r="13" ht="22" customHeight="1">
      <x:c r="A13" s="15" t="str">
        <x:v>Япония</x:v>
      </x:c>
      <x:c r="B13" s="18" t="n">
        <x:v>2024</x:v>
      </x:c>
      <x:c r="C13" s="18" t="n">
        <x:v>72</x:v>
      </x:c>
      <x:c r="D13" s="19" t="n">
        <x:v>-0.60948488332828</x:v>
      </x:c>
      <x:c r="E13" s="19" t="n">
        <x:v>-0.264801543341206</x:v>
      </x:c>
      <x:c r="F13" s="19" t="n">
        <x:v>2.736849009041357</x:v>
      </x:c>
      <x:c r="G13" s="19" t="n">
        <x:v>-14.809007960343758</x:v>
      </x:c>
    </x:row>
    <x:row r="14" ht="22" customHeight="1">
      <x:c r="A14" s="15" t="str">
        <x:v>Республика Корея</x:v>
      </x:c>
      <x:c r="B14" s="18" t="n">
        <x:v>2018</x:v>
      </x:c>
      <x:c r="C14" s="18" t="n">
        <x:v>72</x:v>
      </x:c>
      <x:c r="D14" s="19" t="n">
        <x:v>-0.381702365334929</x:v>
      </x:c>
      <x:c r="E14" s="19" t="n">
        <x:v>-1.267653688345238</x:v>
      </x:c>
      <x:c r="F14" s="19" t="n">
        <x:v>-168.45386226700475</x:v>
      </x:c>
      <x:c r="G14" s="19" t="n">
        <x:v>145.57946683647813</x:v>
      </x:c>
    </x:row>
    <x:row r="15" ht="22" customHeight="1">
      <x:c r="A15" s="15" t="str">
        <x:v>Республика Корея</x:v>
      </x:c>
      <x:c r="B15" s="18" t="n">
        <x:v>2019</x:v>
      </x:c>
      <x:c r="C15" s="18" t="n">
        <x:v>72</x:v>
      </x:c>
      <x:c r="D15" s="19" t="n">
        <x:v>-0.929944213212963</x:v>
      </x:c>
      <x:c r="E15" s="19" t="n">
        <x:v>-1.267653688345238</x:v>
      </x:c>
      <x:c r="F15" s="19" t="n">
        <x:v>-151.22334410970134</x:v>
      </x:c>
      <x:c r="G15" s="19" t="n">
        <x:v>99.5575644870092</x:v>
      </x:c>
    </x:row>
    <x:row r="16" ht="22" customHeight="1">
      <x:c r="A16" s="15" t="str">
        <x:v>Республика Корея</x:v>
      </x:c>
      <x:c r="B16" s="18" t="n">
        <x:v>2020</x:v>
      </x:c>
      <x:c r="C16" s="18" t="n">
        <x:v>72</x:v>
      </x:c>
      <x:c r="D16" s="19" t="n">
        <x:v>-1.550948758105447</x:v>
      </x:c>
      <x:c r="E16" s="19" t="n">
        <x:v>-1.267653688345238</x:v>
      </x:c>
      <x:c r="F16" s="19" t="n">
        <x:v>-200.82237338776972</x:v>
      </x:c>
      <x:c r="G16" s="19" t="n">
        <x:v>104.08596639372276</x:v>
      </x:c>
    </x:row>
    <x:row r="17" ht="22" customHeight="1">
      <x:c r="A17" s="15" t="str">
        <x:v>Республика Корея</x:v>
      </x:c>
      <x:c r="B17" s="18" t="n">
        <x:v>2021</x:v>
      </x:c>
      <x:c r="C17" s="18" t="n">
        <x:v>72</x:v>
      </x:c>
      <x:c r="D17" s="19" t="n">
        <x:v>-1.984252677192144</x:v>
      </x:c>
      <x:c r="E17" s="19" t="n">
        <x:v>-1.267653688345238</x:v>
      </x:c>
      <x:c r="F17" s="19" t="n">
        <x:v>-194.3002252206185</x:v>
      </x:c>
      <x:c r="G17" s="19" t="n">
        <x:v>77.90065599555314</x:v>
      </x:c>
    </x:row>
    <x:row r="18" ht="22" customHeight="1">
      <x:c r="A18" s="15" t="str">
        <x:v>Республика Корея</x:v>
      </x:c>
      <x:c r="B18" s="18" t="n">
        <x:v>2022</x:v>
      </x:c>
      <x:c r="C18" s="18" t="n">
        <x:v>72</x:v>
      </x:c>
      <x:c r="D18" s="19" t="n">
        <x:v>-1.185284702437017</x:v>
      </x:c>
      <x:c r="E18" s="19" t="n">
        <x:v>-1.267653688345238</x:v>
      </x:c>
      <x:c r="F18" s="19" t="n">
        <x:v>-178.13085297465045</x:v>
      </x:c>
      <x:c r="G18" s="19" t="n">
        <x:v>106.68900559398035</x:v>
      </x:c>
    </x:row>
    <x:row r="19" ht="22" customHeight="1">
      <x:c r="A19" s="15" t="str">
        <x:v>Республика Корея</x:v>
      </x:c>
      <x:c r="B19" s="18" t="n">
        <x:v>2023</x:v>
      </x:c>
      <x:c r="C19" s="18" t="n">
        <x:v>72</x:v>
      </x:c>
      <x:c r="D19" s="19" t="n">
        <x:v>-1.817360772501475</x:v>
      </x:c>
      <x:c r="E19" s="19" t="n">
        <x:v>-1.267653688345238</x:v>
      </x:c>
      <x:c r="F19" s="19" t="n">
        <x:v>-157.0129606929456</x:v>
      </x:c>
      <x:c r="G19" s="19" t="n">
        <x:v>62.8250939357719</x:v>
      </x:c>
    </x:row>
    <x:row r="20" ht="22" customHeight="1">
      <x:c r="A20" s="15" t="str">
        <x:v>Республика Корея</x:v>
      </x:c>
      <x:c r="B20" s="18" t="n">
        <x:v>2024</x:v>
      </x:c>
      <x:c r="C20" s="18" t="n">
        <x:v>72</x:v>
      </x:c>
      <x:c r="D20" s="19" t="n">
        <x:v>-1.161711949317234</x:v>
      </x:c>
      <x:c r="E20" s="19" t="n">
        <x:v>-1.267653688345238</x:v>
      </x:c>
      <x:c r="F20" s="19" t="n">
        <x:v>-138.98238038311973</x:v>
      </x:c>
      <x:c r="G20" s="19" t="n">
        <x:v>73.69307888494144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</x:row>
    <x:row r="2" ht="29" customHeight="1">
      <x:c r="A2" s="4" t="str">
        <x:v>3.1 Изменение доли памяти и условная волатильность</x:v>
      </x:c>
      <x:c r="B2" s="5"/>
      <x:c r="C2" s="5"/>
      <x:c r="D2" s="5"/>
      <x:c r="E2" s="5"/>
      <x:c r="F2" s="5"/>
      <x:c r="G2" s="5"/>
    </x:row>
    <x:row r="3" ht="22" customHeight="1">
      <x:c r="A3" s="6" t="str">
        <x:v>База — структура 2024. История 2018–2024. 95% точечные интервалы изменения SD, блок 12 месяцев.</x:v>
      </x:c>
      <x:c r="B3" s="2"/>
      <x:c r="C3" s="2"/>
      <x:c r="D3" s="2"/>
      <x:c r="E3" s="2"/>
      <x:c r="F3" s="2"/>
      <x:c r="G3" s="2"/>
    </x:row>
    <x:row r="4" ht="22" customHeight="1">
      <x:c r="A4" s="7" t="str">
        <x:v>Источник: S02</x:v>
      </x:c>
      <x:c r="B4" s="2"/>
      <x:c r="C4" s="2"/>
      <x:c r="D4" s="2"/>
      <x:c r="E4" s="2"/>
      <x:c r="F4" s="2"/>
      <x:c r="G4" s="2"/>
    </x:row>
    <x:row r="5" ht="26" customHeight="1">
      <x:c r="A5" s="8" t="str">
        <x:v>Сценарные оценки</x:v>
      </x:c>
      <x:c r="B5" s="2"/>
      <x:c r="C5" s="2"/>
      <x:c r="D5" s="2"/>
      <x:c r="E5" s="2"/>
      <x:c r="F5" s="2"/>
      <x:c r="G5" s="2"/>
    </x:row>
    <x:row r="6" ht="36" customHeight="1">
      <x:c r="A6" s="13" t="str">
        <x:v>Страна</x:v>
      </x:c>
      <x:c r="B6" s="13" t="str">
        <x:v>Сдвиг доли, п.п.</x:v>
      </x:c>
      <x:c r="C6" s="13" t="str">
        <x:v>Доля памяти</x:v>
      </x:c>
      <x:c r="D6" s="13" t="str">
        <x:v>SD, п.п.</x:v>
      </x:c>
      <x:c r="E6" s="13" t="str">
        <x:v>ΔSD к базе, п.п.</x:v>
      </x:c>
      <x:c r="F6" s="13" t="str">
        <x:v>Нижняя 95%, п.п.</x:v>
      </x:c>
      <x:c r="G6" s="13" t="str">
        <x:v>Верхняя 95%, п.п.</x:v>
      </x:c>
    </x:row>
    <x:row r="7" ht="22" customHeight="1">
      <x:c r="A7" s="15" t="str">
        <x:v>Япония</x:v>
      </x:c>
      <x:c r="B7" s="19" t="n">
        <x:v>-5</x:v>
      </x:c>
      <x:c r="C7" s="22" t="n">
        <x:v>0.3746341732339195</x:v>
      </x:c>
      <x:c r="D7" s="19" t="n">
        <x:v>9.44245909707801</x:v>
      </x:c>
      <x:c r="E7" s="19" t="n">
        <x:v>-0.3293202809129152</x:v>
      </x:c>
      <x:c r="F7" s="19" t="n">
        <x:v>-0.5534973606327462</x:v>
      </x:c>
      <x:c r="G7" s="19" t="n">
        <x:v>0.07691817008057301</x:v>
      </x:c>
    </x:row>
    <x:row r="8" ht="22" customHeight="1">
      <x:c r="A8" s="15" t="str">
        <x:v>Япония</x:v>
      </x:c>
      <x:c r="B8" s="19" t="n">
        <x:v>-2.5</x:v>
      </x:c>
      <x:c r="C8" s="22" t="n">
        <x:v>0.39963417323391953</x:v>
      </x:c>
      <x:c r="D8" s="19" t="n">
        <x:v>9.59648937841476</x:v>
      </x:c>
      <x:c r="E8" s="19" t="n">
        <x:v>-0.1752899995761652</x:v>
      </x:c>
      <x:c r="F8" s="19" t="n">
        <x:v>-0.2847460699293626</x:v>
      </x:c>
      <x:c r="G8" s="19" t="n">
        <x:v>0.02885243817098226</x:v>
      </x:c>
    </x:row>
    <x:row r="9" ht="22" customHeight="1">
      <x:c r="A9" s="15" t="str">
        <x:v>Япония</x:v>
      </x:c>
      <x:c r="B9" s="19" t="n">
        <x:v>0</x:v>
      </x:c>
      <x:c r="C9" s="22" t="n">
        <x:v>0.4246341732339195</x:v>
      </x:c>
      <x:c r="D9" s="19" t="n">
        <x:v>9.771779377990924</x:v>
      </x:c>
      <x:c r="E9" s="19" t="n">
        <x:v>0</x:v>
      </x:c>
      <x:c r="F9" s="19" t="n">
        <x:v>0</x:v>
      </x:c>
      <x:c r="G9" s="19" t="n">
        <x:v>0</x:v>
      </x:c>
    </x:row>
    <x:row r="10" ht="22" customHeight="1">
      <x:c r="A10" s="15" t="str">
        <x:v>Япония</x:v>
      </x:c>
      <x:c r="B10" s="19" t="n">
        <x:v>2.5</x:v>
      </x:c>
      <x:c r="C10" s="22" t="n">
        <x:v>0.4496341732339195</x:v>
      </x:c>
      <x:c r="D10" s="19" t="n">
        <x:v>9.967207495898524</x:v>
      </x:c>
      <x:c r="E10" s="19" t="n">
        <x:v>0.19542811790759984</x:v>
      </x:c>
      <x:c r="F10" s="19" t="n">
        <x:v>-0.008154991087156201</x:v>
      </x:c>
      <x:c r="G10" s="19" t="n">
        <x:v>0.299374641393355</x:v>
      </x:c>
    </x:row>
    <x:row r="11" ht="22" customHeight="1">
      <x:c r="A11" s="15" t="str">
        <x:v>Япония</x:v>
      </x:c>
      <x:c r="B11" s="19" t="n">
        <x:v>5</x:v>
      </x:c>
      <x:c r="C11" s="22" t="n">
        <x:v>0.4746341732339195</x:v>
      </x:c>
      <x:c r="D11" s="19" t="n">
        <x:v>10.181614191891585</x:v>
      </x:c>
      <x:c r="E11" s="19" t="n">
        <x:v>0.4098348139006607</x:v>
      </x:c>
      <x:c r="F11" s="19" t="n">
        <x:v>0.003936280221902607</x:v>
      </x:c>
      <x:c r="G11" s="19" t="n">
        <x:v>0.6120788609720956</x:v>
      </x:c>
    </x:row>
    <x:row r="12" ht="22" customHeight="1">
      <x:c r="A12" s="15" t="str">
        <x:v>Республика Корея</x:v>
      </x:c>
      <x:c r="B12" s="19" t="n">
        <x:v>-5</x:v>
      </x:c>
      <x:c r="C12" s="22" t="n">
        <x:v>0.5510658052763379</x:v>
      </x:c>
      <x:c r="D12" s="19" t="n">
        <x:v>27.294807047335045</x:v>
      </x:c>
      <x:c r="E12" s="19" t="n">
        <x:v>-1.2898915017395218</x:v>
      </x:c>
      <x:c r="F12" s="19" t="n">
        <x:v>-1.7400843903434395</x:v>
      </x:c>
      <x:c r="G12" s="19" t="n">
        <x:v>-0.6775330789925761</x:v>
      </x:c>
    </x:row>
    <x:row r="13" ht="22" customHeight="1">
      <x:c r="A13" s="15" t="str">
        <x:v>Республика Корея</x:v>
      </x:c>
      <x:c r="B13" s="19" t="n">
        <x:v>-2.5</x:v>
      </x:c>
      <x:c r="C13" s="22" t="n">
        <x:v>0.5760658052763379</x:v>
      </x:c>
      <x:c r="D13" s="19" t="n">
        <x:v>27.93362106696305</x:v>
      </x:c>
      <x:c r="E13" s="19" t="n">
        <x:v>-0.6510774821115177</x:v>
      </x:c>
      <x:c r="F13" s="19" t="n">
        <x:v>-0.8753181263353653</x:v>
      </x:c>
      <x:c r="G13" s="19" t="n">
        <x:v>-0.34355689014211477</x:v>
      </x:c>
    </x:row>
    <x:row r="14" ht="22" customHeight="1">
      <x:c r="A14" s="15" t="str">
        <x:v>Республика Корея</x:v>
      </x:c>
      <x:c r="B14" s="19" t="n">
        <x:v>0</x:v>
      </x:c>
      <x:c r="C14" s="22" t="n">
        <x:v>0.6010658052763379</x:v>
      </x:c>
      <x:c r="D14" s="19" t="n">
        <x:v>28.584698549074567</x:v>
      </x:c>
      <x:c r="E14" s="19" t="n">
        <x:v>0</x:v>
      </x:c>
      <x:c r="F14" s="19" t="n">
        <x:v>0</x:v>
      </x:c>
      <x:c r="G14" s="19" t="n">
        <x:v>0</x:v>
      </x:c>
    </x:row>
    <x:row r="15" ht="22" customHeight="1">
      <x:c r="A15" s="15" t="str">
        <x:v>Республика Корея</x:v>
      </x:c>
      <x:c r="B15" s="19" t="n">
        <x:v>2.5</x:v>
      </x:c>
      <x:c r="C15" s="22" t="n">
        <x:v>0.6260658052763379</x:v>
      </x:c>
      <x:c r="D15" s="19" t="n">
        <x:v>29.247220507897893</x:v>
      </x:c>
      <x:c r="E15" s="19" t="n">
        <x:v>0.6625219588233264</x:v>
      </x:c>
      <x:c r="F15" s="19" t="n">
        <x:v>0.3547410880064895</x:v>
      </x:c>
      <x:c r="G15" s="19" t="n">
        <x:v>0.8843208013848901</x:v>
      </x:c>
    </x:row>
    <x:row r="16" ht="22" customHeight="1">
      <x:c r="A16" s="15" t="str">
        <x:v>Республика Корея</x:v>
      </x:c>
      <x:c r="B16" s="19" t="n">
        <x:v>5</x:v>
      </x:c>
      <x:c r="C16" s="22" t="n">
        <x:v>0.651065805276338</x:v>
      </x:c>
      <x:c r="D16" s="19" t="n">
        <x:v>29.92042671488985</x:v>
      </x:c>
      <x:c r="E16" s="19" t="n">
        <x:v>1.3357281658152829</x:v>
      </x:c>
      <x:c r="F16" s="19" t="n">
        <x:v>0.7260173650636288</x:v>
      </x:c>
      <x:c r="G16" s="19" t="n">
        <x:v>1.7747391064060987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7" hidden="0" customWidth="1"/>
    <x:col min="4" max="4" width="28" hidden="0" customWidth="1"/>
    <x:col min="5" max="5" width="23" hidden="0" customWidth="1"/>
    <x:col min="6" max="6" width="23" hidden="0" customWidth="1"/>
    <x:col min="7" max="7" width="30" hidden="0" customWidth="1"/>
    <x:col min="8" max="8" width="30" hidden="0" customWidth="1"/>
    <x:col min="9" max="9" width="28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4" t="str">
        <x:v>3.2 Рост продукции вне памяти при неизменном экспорте памяти</x:v>
      </x:c>
      <x:c r="B2" s="5"/>
      <x:c r="C2" s="5"/>
      <x:c r="D2" s="5"/>
      <x:c r="E2" s="5"/>
      <x:c r="F2" s="5"/>
      <x:c r="G2" s="5"/>
      <x:c r="H2" s="5"/>
      <x:c r="I2" s="5"/>
    </x:row>
    <x:row r="3" ht="22" customHeight="1">
      <x:c r="A3" s="6" t="str">
        <x:v>Условная арифметика объёмов. Снижение доли памяти на 2,5 или 5 п.п. обеспечивается ростом остальных групп.</x:v>
      </x:c>
      <x:c r="B3" s="2"/>
      <x:c r="C3" s="2"/>
      <x:c r="D3" s="2"/>
      <x:c r="E3" s="2"/>
      <x:c r="F3" s="2"/>
      <x:c r="G3" s="2"/>
      <x:c r="H3" s="2"/>
      <x:c r="I3" s="2"/>
    </x:row>
    <x:row r="4" ht="22" customHeight="1">
      <x:c r="A4" s="7" t="str">
        <x:v>Источник: S01, S02</x:v>
      </x:c>
      <x:c r="B4" s="2"/>
      <x:c r="C4" s="2"/>
      <x:c r="D4" s="2"/>
      <x:c r="E4" s="2"/>
      <x:c r="F4" s="2"/>
      <x:c r="G4" s="2"/>
      <x:c r="H4" s="2"/>
      <x:c r="I4" s="2"/>
    </x:row>
    <x:row r="5" ht="26" customHeight="1">
      <x:c r="A5" s="8" t="str">
        <x:v>Условия и результат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3" t="str">
        <x:v>Страна</x:v>
      </x:c>
      <x:c r="B6" s="13" t="str">
        <x:v>Снижение доли, п.п.</x:v>
      </x:c>
      <x:c r="C6" s="13" t="str">
        <x:v>Память 2024, долл.</x:v>
      </x:c>
      <x:c r="D6" s="13" t="str">
        <x:v>Вне памяти 2024, долл.</x:v>
      </x:c>
      <x:c r="E6" s="13" t="str">
        <x:v>Базовая доля памяти</x:v>
      </x:c>
      <x:c r="F6" s="13" t="str">
        <x:v>Целевая доля памяти</x:v>
      </x:c>
      <x:c r="G6" s="13" t="str">
        <x:v>Дополнительный экспорт, долл.</x:v>
      </x:c>
      <x:c r="H6" s="13" t="str">
        <x:v>Дополнительный экспорт, млрд долл.</x:v>
      </x:c>
      <x:c r="I6" s="13" t="str">
        <x:v>Рост экспорта вне памяти</x:v>
      </x:c>
    </x:row>
    <x:row r="7" ht="22" customHeight="1">
      <x:c r="A7" s="15" t="str">
        <x:v>Япония</x:v>
      </x:c>
      <x:c r="B7" s="19" t="n">
        <x:v>2.5</x:v>
      </x:c>
      <x:c r="C7" s="19" t="n">
        <x:v>12899515010.305</x:v>
      </x:c>
      <x:c r="D7" s="19" t="n">
        <x:v>17478433406.011</x:v>
      </x:c>
      <x:c r="E7" s="22" t="n">
        <x:f>C7/SUM(C7:D7)</x:f>
        <x:v>0.4246341732339195</x:v>
      </x:c>
      <x:c r="F7" s="22" t="n">
        <x:f>E7-B7/100</x:f>
        <x:v>0.3996341732339195</x:v>
      </x:c>
      <x:c r="G7" s="19" t="n">
        <x:f>C7/F7-C7-D7</x:f>
        <x:v>1900359782.203537</x:v>
      </x:c>
      <x:c r="H7" s="19" t="n">
        <x:f>G7/10^9</x:f>
        <x:v>1.900359782203537</x:v>
      </x:c>
      <x:c r="I7" s="22" t="n">
        <x:f>G7/D7</x:f>
        <x:v>0.10872597892840813</x:v>
      </x:c>
    </x:row>
    <x:row r="8" ht="22" customHeight="1">
      <x:c r="A8" s="15" t="str">
        <x:v>Япония</x:v>
      </x:c>
      <x:c r="B8" s="19" t="n">
        <x:v>5</x:v>
      </x:c>
      <x:c r="C8" s="19" t="n">
        <x:v>12899515010.305</x:v>
      </x:c>
      <x:c r="D8" s="19" t="n">
        <x:v>17478433406.011</x:v>
      </x:c>
      <x:c r="E8" s="22" t="n">
        <x:f>C8/SUM(C8:D8)</x:f>
        <x:v>0.4246341732339195</x:v>
      </x:c>
      <x:c r="F8" s="22" t="n">
        <x:f>E8-B8/100</x:f>
        <x:v>0.3746341732339195</x:v>
      </x:c>
      <x:c r="G8" s="19" t="n">
        <x:f>C8/F8-C8-D8</x:f>
        <x:v>4054348293.174553</x:v>
      </x:c>
      <x:c r="H8" s="19" t="n">
        <x:f>G8/10^9</x:f>
        <x:v>4.054348293174553</x:v>
      </x:c>
      <x:c r="I8" s="22" t="n">
        <x:f>G8/D8</x:f>
        <x:v>0.23196291103413327</x:v>
      </x:c>
    </x:row>
    <x:row r="9" ht="22" customHeight="1">
      <x:c r="A9" s="15" t="str">
        <x:v>Республика Корея</x:v>
      </x:c>
      <x:c r="B9" s="19" t="n">
        <x:v>2.5</x:v>
      </x:c>
      <x:c r="C9" s="19" t="n">
        <x:v>72019703767</x:v>
      </x:c>
      <x:c r="D9" s="19" t="n">
        <x:v>47800294534</x:v>
      </x:c>
      <x:c r="E9" s="22" t="n">
        <x:f>C9/SUM(C9:D9)</x:f>
        <x:v>0.6010658052763379</x:v>
      </x:c>
      <x:c r="F9" s="22" t="n">
        <x:f>E9-B9/100</x:f>
        <x:v>0.5760658052763379</x:v>
      </x:c>
      <x:c r="G9" s="19" t="n">
        <x:f>C9/F9-C9-D9</x:f>
        <x:v>5199926692.555649</x:v>
      </x:c>
      <x:c r="H9" s="19" t="n">
        <x:f>G9/10^9</x:f>
        <x:v>5.199926692555649</x:v>
      </x:c>
      <x:c r="I9" s="22" t="n">
        <x:f>G9/D9</x:f>
        <x:v>0.1087844069424505</x:v>
      </x:c>
    </x:row>
    <x:row r="10" ht="22" customHeight="1">
      <x:c r="A10" s="15" t="str">
        <x:v>Республика Корея</x:v>
      </x:c>
      <x:c r="B10" s="19" t="n">
        <x:v>5</x:v>
      </x:c>
      <x:c r="C10" s="19" t="n">
        <x:v>72019703767</x:v>
      </x:c>
      <x:c r="D10" s="19" t="n">
        <x:v>47800294534</x:v>
      </x:c>
      <x:c r="E10" s="22" t="n">
        <x:f>C10/SUM(C10:D10)</x:f>
        <x:v>0.6010658052763379</x:v>
      </x:c>
      <x:c r="F10" s="22" t="n">
        <x:f>E10-B10/100</x:f>
        <x:v>0.5510658052763379</x:v>
      </x:c>
      <x:c r="G10" s="19" t="n">
        <x:f>C10/F10-C10-D10</x:f>
        <x:v>10871659714.116623</x:v>
      </x:c>
      <x:c r="H10" s="19" t="n">
        <x:f>G10/10^9</x:f>
        <x:v>10.871659714116623</x:v>
      </x:c>
      <x:c r="I10" s="22" t="n">
        <x:f>G10/D10</x:f>
        <x:v>0.2274391783586959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6" hidden="0" customWidth="1"/>
    <x:col min="2" max="2" width="34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4" t="str">
        <x:v>3.3 Сравнение географических сценариев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6" t="str">
        <x:v>Дополнение = 1% экспорта 2024. Сравнение с пропорциональным расширением. Основные интервалы совместные для 8 рынков.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7" t="str">
        <x:v>Источник: S03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6" customHeight="1">
      <x:c r="A5" s="8" t="str">
        <x:v>Сравнение восьми направлений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36" customHeight="1">
      <x:c r="A6" s="13" t="str">
        <x:v>Страна</x:v>
      </x:c>
      <x:c r="B6" s="13" t="str">
        <x:v>Направление</x:v>
      </x:c>
      <x:c r="C6" s="13" t="str">
        <x:v>ΔSD к сравнению, п.п.</x:v>
      </x:c>
      <x:c r="D6" s="13" t="str">
        <x:v>Совместная нижняя 95%</x:v>
      </x:c>
      <x:c r="E6" s="13" t="str">
        <x:v>Совместная верхняя 95%</x:v>
      </x:c>
      <x:c r="F6" s="13" t="str">
        <x:v>Точечная нижняя 95%</x:v>
      </x:c>
      <x:c r="G6" s="13" t="str">
        <x:v>Точечная верхняя 95%</x:v>
      </x:c>
      <x:c r="H6" s="13" t="str">
        <x:v>Добавка, долл.</x:v>
      </x:c>
      <x:c r="I6" s="13" t="str">
        <x:v>SD сравнения, п.п.</x:v>
      </x:c>
      <x:c r="J6" s="13" t="str">
        <x:v>SD сценария, п.п.</x:v>
      </x:c>
    </x:row>
    <x:row r="7" ht="22" customHeight="1">
      <x:c r="A7" s="15" t="str">
        <x:v>Япония</x:v>
      </x:c>
      <x:c r="B7" s="15" t="str">
        <x:v>Китай</x:v>
      </x:c>
      <x:c r="C7" s="23" t="n">
        <x:v>-0.0006732116591781079</x:v>
      </x:c>
      <x:c r="D7" s="23" t="n">
        <x:v>-0.10145701202876614</x:v>
      </x:c>
      <x:c r="E7" s="23" t="n">
        <x:v>0.10011058871040993</x:v>
      </x:c>
      <x:c r="F7" s="23" t="n">
        <x:v>-0.04093829646803604</x:v>
      </x:c>
      <x:c r="G7" s="23" t="n">
        <x:v>0.03767914692491185</x:v>
      </x:c>
      <x:c r="H7" s="19" t="n">
        <x:v>303779484.16316</x:v>
      </x:c>
      <x:c r="I7" s="19" t="n">
        <x:v>9.740860786737255</x:v>
      </x:c>
      <x:c r="J7" s="19" t="n">
        <x:v>9.740187575078076</x:v>
      </x:c>
    </x:row>
    <x:row r="8" ht="22" customHeight="1">
      <x:c r="A8" s="15" t="str">
        <x:v>Япония</x:v>
      </x:c>
      <x:c r="B8" s="15" t="str">
        <x:v>Гонконг</x:v>
      </x:c>
      <x:c r="C8" s="23" t="n">
        <x:v>-0.02730842335910566</x:v>
      </x:c>
      <x:c r="D8" s="23" t="n">
        <x:v>-0.1280922237286937</x:v>
      </x:c>
      <x:c r="E8" s="23" t="n">
        <x:v>0.07347537701048237</x:v>
      </x:c>
      <x:c r="F8" s="23" t="n">
        <x:v>-0.10006158988742682</x:v>
      </x:c>
      <x:c r="G8" s="23" t="n">
        <x:v>0.0377031823857747</x:v>
      </x:c>
      <x:c r="H8" s="19" t="n">
        <x:v>303779484.16316</x:v>
      </x:c>
      <x:c r="I8" s="19" t="n">
        <x:v>9.740860786737255</x:v>
      </x:c>
      <x:c r="J8" s="19" t="n">
        <x:v>9.713552363378149</x:v>
      </x:c>
    </x:row>
    <x:row r="9" ht="22" customHeight="1">
      <x:c r="A9" s="15" t="str">
        <x:v>Япония</x:v>
      </x:c>
      <x:c r="B9" s="15" t="str">
        <x:v>Прочая Азия, н.в.д. (490)</x:v>
      </x:c>
      <x:c r="C9" s="23" t="n">
        <x:v>0.04770683185885538</x:v>
      </x:c>
      <x:c r="D9" s="23" t="n">
        <x:v>-0.05307696851073265</x:v>
      </x:c>
      <x:c r="E9" s="23" t="n">
        <x:v>0.14849063222844341</x:v>
      </x:c>
      <x:c r="F9" s="23" t="n">
        <x:v>-0.04916228130810527</x:v>
      </x:c>
      <x:c r="G9" s="23" t="n">
        <x:v>0.11531010993822022</x:v>
      </x:c>
      <x:c r="H9" s="19" t="n">
        <x:v>303779484.16316</x:v>
      </x:c>
      <x:c r="I9" s="19" t="n">
        <x:v>9.740860786737255</x:v>
      </x:c>
      <x:c r="J9" s="19" t="n">
        <x:v>9.78856761859611</x:v>
      </x:c>
    </x:row>
    <x:row r="10" ht="22" customHeight="1">
      <x:c r="A10" s="15" t="str">
        <x:v>Япония</x:v>
      </x:c>
      <x:c r="B10" s="15" t="str">
        <x:v>Вьетнам</x:v>
      </x:c>
      <x:c r="C10" s="23" t="n">
        <x:v>0.016621032409714687</x:v>
      </x:c>
      <x:c r="D10" s="23" t="n">
        <x:v>-0.08416276795987335</x:v>
      </x:c>
      <x:c r="E10" s="23" t="n">
        <x:v>0.11740483277930272</x:v>
      </x:c>
      <x:c r="F10" s="23" t="n">
        <x:v>-0.05252243070570843</x:v>
      </x:c>
      <x:c r="G10" s="23" t="n">
        <x:v>0.10773314990223876</x:v>
      </x:c>
      <x:c r="H10" s="19" t="n">
        <x:v>303779484.16316</x:v>
      </x:c>
      <x:c r="I10" s="19" t="n">
        <x:v>9.740860786737255</x:v>
      </x:c>
      <x:c r="J10" s="19" t="n">
        <x:v>9.75748181914697</x:v>
      </x:c>
    </x:row>
    <x:row r="11" ht="22" customHeight="1">
      <x:c r="A11" s="15" t="str">
        <x:v>Япония</x:v>
      </x:c>
      <x:c r="B11" s="15" t="str">
        <x:v>Сингапур</x:v>
      </x:c>
      <x:c r="C11" s="23" t="n">
        <x:v>-0.03718770641097535</x:v>
      </x:c>
      <x:c r="D11" s="23" t="n">
        <x:v>-0.13797150678056339</x:v>
      </x:c>
      <x:c r="E11" s="23" t="n">
        <x:v>0.06359609395861268</x:v>
      </x:c>
      <x:c r="F11" s="23" t="n">
        <x:v>-0.0766350908782675</x:v>
      </x:c>
      <x:c r="G11" s="23" t="n">
        <x:v>0.0002848401754137639</x:v>
      </x:c>
      <x:c r="H11" s="19" t="n">
        <x:v>303779484.16316</x:v>
      </x:c>
      <x:c r="I11" s="19" t="n">
        <x:v>9.740860786737255</x:v>
      </x:c>
      <x:c r="J11" s="19" t="n">
        <x:v>9.70367308032628</x:v>
      </x:c>
    </x:row>
    <x:row r="12" ht="22" customHeight="1">
      <x:c r="A12" s="15" t="str">
        <x:v>Япония</x:v>
      </x:c>
      <x:c r="B12" s="15" t="str">
        <x:v>Филиппины</x:v>
      </x:c>
      <x:c r="C12" s="23" t="n">
        <x:v>0.00025330028105763347</x:v>
      </x:c>
      <x:c r="D12" s="23" t="n">
        <x:v>-0.1005305000885304</x:v>
      </x:c>
      <x:c r="E12" s="23" t="n">
        <x:v>0.10103710065064567</x:v>
      </x:c>
      <x:c r="F12" s="23" t="n">
        <x:v>-0.08458270171721605</x:v>
      </x:c>
      <x:c r="G12" s="23" t="n">
        <x:v>0.0669788806454111</x:v>
      </x:c>
      <x:c r="H12" s="19" t="n">
        <x:v>303779484.16316</x:v>
      </x:c>
      <x:c r="I12" s="19" t="n">
        <x:v>9.740860786737255</x:v>
      </x:c>
      <x:c r="J12" s="19" t="n">
        <x:v>9.741114087018312</x:v>
      </x:c>
    </x:row>
    <x:row r="13" ht="22" customHeight="1">
      <x:c r="A13" s="15" t="str">
        <x:v>Япония</x:v>
      </x:c>
      <x:c r="B13" s="15" t="str">
        <x:v>США</x:v>
      </x:c>
      <x:c r="C13" s="23" t="n">
        <x:v>-0.03307703988120103</x:v>
      </x:c>
      <x:c r="D13" s="23" t="n">
        <x:v>-0.13386084025078906</x:v>
      </x:c>
      <x:c r="E13" s="23" t="n">
        <x:v>0.067706760488387</x:v>
      </x:c>
      <x:c r="F13" s="23" t="n">
        <x:v>-0.090375957526037</x:v>
      </x:c>
      <x:c r="G13" s="23" t="n">
        <x:v>0.025442685327422145</x:v>
      </x:c>
      <x:c r="H13" s="19" t="n">
        <x:v>303779484.16316</x:v>
      </x:c>
      <x:c r="I13" s="19" t="n">
        <x:v>9.740860786737255</x:v>
      </x:c>
      <x:c r="J13" s="19" t="n">
        <x:v>9.707783746856053</x:v>
      </x:c>
    </x:row>
    <x:row r="14" ht="22" customHeight="1">
      <x:c r="A14" s="15" t="str">
        <x:v>Япония</x:v>
      </x:c>
      <x:c r="B14" s="15" t="str">
        <x:v>Таиланд</x:v>
      </x:c>
      <x:c r="C14" s="23" t="n">
        <x:v>0.017482271705398844</x:v>
      </x:c>
      <x:c r="D14" s="23" t="n">
        <x:v>-0.08330152866418919</x:v>
      </x:c>
      <x:c r="E14" s="23" t="n">
        <x:v>0.11826607207498688</x:v>
      </x:c>
      <x:c r="F14" s="23" t="n">
        <x:v>-0.02560836704329761</x:v>
      </x:c>
      <x:c r="G14" s="23" t="n">
        <x:v>0.04847969163559868</x:v>
      </x:c>
      <x:c r="H14" s="19" t="n">
        <x:v>303779484.16316</x:v>
      </x:c>
      <x:c r="I14" s="19" t="n">
        <x:v>9.740860786737255</x:v>
      </x:c>
      <x:c r="J14" s="19" t="n">
        <x:v>9.758343058442653</x:v>
      </x:c>
    </x:row>
    <x:row r="15" ht="22" customHeight="1">
      <x:c r="A15" s="15" t="str">
        <x:v>Республика Корея</x:v>
      </x:c>
      <x:c r="B15" s="15" t="str">
        <x:v>Китай</x:v>
      </x:c>
      <x:c r="C15" s="23" t="n">
        <x:v>0.008541284840230645</x:v>
      </x:c>
      <x:c r="D15" s="23" t="n">
        <x:v>-0.16136052494358244</x:v>
      </x:c>
      <x:c r="E15" s="23" t="n">
        <x:v>0.17844309462404373</x:v>
      </x:c>
      <x:c r="F15" s="23" t="n">
        <x:v>-0.03588329670715318</x:v>
      </x:c>
      <x:c r="G15" s="23" t="n">
        <x:v>0.04458817739577404</x:v>
      </x:c>
      <x:c r="H15" s="19" t="n">
        <x:v>1198199983.01</x:v>
      </x:c>
      <x:c r="I15" s="19" t="n">
        <x:v>28.42864469150859</x:v>
      </x:c>
      <x:c r="J15" s="19" t="n">
        <x:v>28.43718597634882</x:v>
      </x:c>
    </x:row>
    <x:row r="16" ht="22" customHeight="1">
      <x:c r="A16" s="15" t="str">
        <x:v>Республика Корея</x:v>
      </x:c>
      <x:c r="B16" s="15" t="str">
        <x:v>Гонконг</x:v>
      </x:c>
      <x:c r="C16" s="23" t="n">
        <x:v>0.03580398172622523</x:v>
      </x:c>
      <x:c r="D16" s="23" t="n">
        <x:v>-0.13409782805758785</x:v>
      </x:c>
      <x:c r="E16" s="23" t="n">
        <x:v>0.20570579151003832</x:v>
      </x:c>
      <x:c r="F16" s="23" t="n">
        <x:v>-0.037137179741863945</x:v>
      </x:c>
      <x:c r="G16" s="23" t="n">
        <x:v>0.09263418236987647</x:v>
      </x:c>
      <x:c r="H16" s="19" t="n">
        <x:v>1198199983.01</x:v>
      </x:c>
      <x:c r="I16" s="19" t="n">
        <x:v>28.42864469150859</x:v>
      </x:c>
      <x:c r="J16" s="19" t="n">
        <x:v>28.464448673234816</x:v>
      </x:c>
    </x:row>
    <x:row r="17" ht="22" customHeight="1">
      <x:c r="A17" s="15" t="str">
        <x:v>Республика Корея</x:v>
      </x:c>
      <x:c r="B17" s="15" t="str">
        <x:v>Прочая Азия, н.в.д. (490)</x:v>
      </x:c>
      <x:c r="C17" s="23" t="n">
        <x:v>0.07021554896121884</x:v>
      </x:c>
      <x:c r="D17" s="23" t="n">
        <x:v>-0.09968626082259424</x:v>
      </x:c>
      <x:c r="E17" s="23" t="n">
        <x:v>0.24011735874503193</x:v>
      </x:c>
      <x:c r="F17" s="23" t="n">
        <x:v>-0.019625208433895657</x:v>
      </x:c>
      <x:c r="G17" s="23" t="n">
        <x:v>0.17529774332592218</x:v>
      </x:c>
      <x:c r="H17" s="19" t="n">
        <x:v>1198199983.01</x:v>
      </x:c>
      <x:c r="I17" s="19" t="n">
        <x:v>28.42864469150859</x:v>
      </x:c>
      <x:c r="J17" s="19" t="n">
        <x:v>28.49886024046981</x:v>
      </x:c>
    </x:row>
    <x:row r="18" ht="22" customHeight="1">
      <x:c r="A18" s="15" t="str">
        <x:v>Республика Корея</x:v>
      </x:c>
      <x:c r="B18" s="15" t="str">
        <x:v>Вьетнам</x:v>
      </x:c>
      <x:c r="C18" s="23" t="n">
        <x:v>-0.0239647894176116</x:v>
      </x:c>
      <x:c r="D18" s="23" t="n">
        <x:v>-0.19386659920142468</x:v>
      </x:c>
      <x:c r="E18" s="23" t="n">
        <x:v>0.1459370203662015</x:v>
      </x:c>
      <x:c r="F18" s="23" t="n">
        <x:v>-0.13727150635504035</x:v>
      </x:c>
      <x:c r="G18" s="23" t="n">
        <x:v>0.08347322583052748</x:v>
      </x:c>
      <x:c r="H18" s="19" t="n">
        <x:v>1198199983.01</x:v>
      </x:c>
      <x:c r="I18" s="19" t="n">
        <x:v>28.42864469150859</x:v>
      </x:c>
      <x:c r="J18" s="19" t="n">
        <x:v>28.40467990209098</x:v>
      </x:c>
    </x:row>
    <x:row r="19" ht="22" customHeight="1">
      <x:c r="A19" s="15" t="str">
        <x:v>Республика Корея</x:v>
      </x:c>
      <x:c r="B19" s="15" t="str">
        <x:v>Сингапур</x:v>
      </x:c>
      <x:c r="C19" s="23" t="n">
        <x:v>-0.019503691158572423</x:v>
      </x:c>
      <x:c r="D19" s="23" t="n">
        <x:v>-0.1894055009423855</x:v>
      </x:c>
      <x:c r="E19" s="23" t="n">
        <x:v>0.15039811862524066</x:v>
      </x:c>
      <x:c r="F19" s="23" t="n">
        <x:v>-0.10850772622071805</x:v>
      </x:c>
      <x:c r="G19" s="23" t="n">
        <x:v>0.11124472488110293</x:v>
      </x:c>
      <x:c r="H19" s="19" t="n">
        <x:v>1198199983.01</x:v>
      </x:c>
      <x:c r="I19" s="19" t="n">
        <x:v>28.42864469150859</x:v>
      </x:c>
      <x:c r="J19" s="19" t="n">
        <x:v>28.40914100035002</x:v>
      </x:c>
    </x:row>
    <x:row r="20" ht="22" customHeight="1">
      <x:c r="A20" s="15" t="str">
        <x:v>Республика Корея</x:v>
      </x:c>
      <x:c r="B20" s="15" t="str">
        <x:v>Филиппины</x:v>
      </x:c>
      <x:c r="C20" s="23" t="n">
        <x:v>-0.02302624880936932</x:v>
      </x:c>
      <x:c r="D20" s="23" t="n">
        <x:v>-0.1929280585931824</x:v>
      </x:c>
      <x:c r="E20" s="23" t="n">
        <x:v>0.14687556097444376</x:v>
      </x:c>
      <x:c r="F20" s="23" t="n">
        <x:v>-0.14113129322145496</x:v>
      </x:c>
      <x:c r="G20" s="23" t="n">
        <x:v>0.13619006244261928</x:v>
      </x:c>
      <x:c r="H20" s="19" t="n">
        <x:v>1198199983.01</x:v>
      </x:c>
      <x:c r="I20" s="19" t="n">
        <x:v>28.42864469150859</x:v>
      </x:c>
      <x:c r="J20" s="19" t="n">
        <x:v>28.40561844269922</x:v>
      </x:c>
    </x:row>
    <x:row r="21" ht="22" customHeight="1">
      <x:c r="A21" s="15" t="str">
        <x:v>Республика Корея</x:v>
      </x:c>
      <x:c r="B21" s="15" t="str">
        <x:v>США</x:v>
      </x:c>
      <x:c r="C21" s="23" t="n">
        <x:v>0.11951003721043207</x:v>
      </x:c>
      <x:c r="D21" s="23" t="n">
        <x:v>-0.05039177257338101</x:v>
      </x:c>
      <x:c r="E21" s="23" t="n">
        <x:v>0.28941184699424516</x:v>
      </x:c>
      <x:c r="F21" s="23" t="n">
        <x:v>-0.044272929169021855</x:v>
      </x:c>
      <x:c r="G21" s="23" t="n">
        <x:v>0.2679882260708424</x:v>
      </x:c>
      <x:c r="H21" s="19" t="n">
        <x:v>1198199983.01</x:v>
      </x:c>
      <x:c r="I21" s="19" t="n">
        <x:v>28.42864469150859</x:v>
      </x:c>
      <x:c r="J21" s="19" t="n">
        <x:v>28.548154728719023</x:v>
      </x:c>
    </x:row>
    <x:row r="22" ht="22" customHeight="1">
      <x:c r="A22" s="15" t="str">
        <x:v>Республика Корея</x:v>
      </x:c>
      <x:c r="B22" s="15" t="str">
        <x:v>Таиланд</x:v>
      </x:c>
      <x:c r="C22" s="23" t="n">
        <x:v>-0.014799858684060752</x:v>
      </x:c>
      <x:c r="D22" s="23" t="n">
        <x:v>-0.18470166846787384</x:v>
      </x:c>
      <x:c r="E22" s="23" t="n">
        <x:v>0.15510195109975233</x:v>
      </x:c>
      <x:c r="F22" s="23" t="n">
        <x:v>-0.09466161300415302</x:v>
      </x:c>
      <x:c r="G22" s="23" t="n">
        <x:v>0.0650951874218192</x:v>
      </x:c>
      <x:c r="H22" s="19" t="n">
        <x:v>1198199983.01</x:v>
      </x:c>
      <x:c r="I22" s="19" t="n">
        <x:v>28.42864469150859</x:v>
      </x:c>
      <x:c r="J22" s="19" t="n">
        <x:v>28.41384483282453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4" hidden="0" customWidth="1"/>
    <x:col min="4" max="4" width="32" hidden="0" customWidth="1"/>
    <x:col min="5" max="5" width="28" hidden="0" customWidth="1"/>
    <x:col min="6" max="6" width="26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9" customHeight="1">
      <x:c r="A2" s="4" t="str">
        <x:v>3.4 Требуемое расширение ячеек «товар — рынок»</x:v>
      </x:c>
      <x:c r="B2" s="5"/>
      <x:c r="C2" s="5"/>
      <x:c r="D2" s="5"/>
      <x:c r="E2" s="5"/>
      <x:c r="F2" s="5"/>
    </x:row>
    <x:row r="3" ht="22" customHeight="1">
      <x:c r="A3" s="6" t="str">
        <x:v>Процент от исходного экспорта ячейки в 2024 году. Значения свыше 1000% сохранены без усечения.</x:v>
      </x:c>
      <x:c r="B3" s="2"/>
      <x:c r="C3" s="2"/>
      <x:c r="D3" s="2"/>
      <x:c r="E3" s="2"/>
      <x:c r="F3" s="2"/>
    </x:row>
    <x:row r="4" ht="22" customHeight="1">
      <x:c r="A4" s="7" t="str">
        <x:v>Источник: S03</x:v>
      </x:c>
      <x:c r="B4" s="2"/>
      <x:c r="C4" s="2"/>
      <x:c r="D4" s="2"/>
      <x:c r="E4" s="2"/>
      <x:c r="F4" s="2"/>
    </x:row>
    <x:row r="5" ht="26" customHeight="1">
      <x:c r="A5" s="8" t="str">
        <x:v>Япония</x:v>
      </x:c>
      <x:c r="B5" s="2"/>
      <x:c r="C5" s="2"/>
      <x:c r="D5" s="2"/>
      <x:c r="E5" s="2"/>
      <x:c r="F5" s="2"/>
    </x:row>
    <x:row r="6" ht="36" customHeight="1">
      <x:c r="A6" s="13" t="str">
        <x:v>Направление</x:v>
      </x:c>
      <x:c r="B6" s="13" t="str">
        <x:v>Процессоры и контроллеры</x:v>
      </x:c>
      <x:c r="C6" s="13" t="str">
        <x:v>Усилители</x:v>
      </x:c>
      <x:c r="D6" s="13" t="str">
        <x:v>Прочие интегральные схемы</x:v>
      </x:c>
      <x:c r="E6" s="2"/>
      <x:c r="F6" s="2"/>
    </x:row>
    <x:row r="7" ht="22" customHeight="1">
      <x:c r="A7" s="15" t="str">
        <x:v>Китай</x:v>
      </x:c>
      <x:c r="B7" s="22" t="n">
        <x:v>0.05365748106626449</x:v>
      </x:c>
      <x:c r="C7" s="22" t="n">
        <x:v>0.1671951988873492</x:v>
      </x:c>
      <x:c r="D7" s="22" t="n">
        <x:v>0.2022348521133818</x:v>
      </x:c>
      <x:c r="E7" s="2"/>
      <x:c r="F7" s="2"/>
    </x:row>
    <x:row r="8" ht="22" customHeight="1">
      <x:c r="A8" s="15" t="str">
        <x:v>Гонконг</x:v>
      </x:c>
      <x:c r="B8" s="22" t="n">
        <x:v>0.18406931689150827</x:v>
      </x:c>
      <x:c r="C8" s="22" t="n">
        <x:v>0.13559597864026196</x:v>
      </x:c>
      <x:c r="D8" s="22" t="n">
        <x:v>0.05479351421193962</x:v>
      </x:c>
      <x:c r="E8" s="2"/>
      <x:c r="F8" s="2"/>
    </x:row>
    <x:row r="9" ht="22" customHeight="1">
      <x:c r="A9" s="15" t="str">
        <x:v>Прочая Азия, н.в.д. (490)</x:v>
      </x:c>
      <x:c r="B9" s="22" t="n">
        <x:v>0.17136204419843526</x:v>
      </x:c>
      <x:c r="C9" s="22" t="n">
        <x:v>0.474178870289213</x:v>
      </x:c>
      <x:c r="D9" s="22" t="n">
        <x:v>0.3844486794111211</x:v>
      </x:c>
      <x:c r="E9" s="2"/>
      <x:c r="F9" s="2"/>
    </x:row>
    <x:row r="10" ht="22" customHeight="1">
      <x:c r="A10" s="15" t="str">
        <x:v>Вьетнам</x:v>
      </x:c>
      <x:c r="B10" s="22" t="n">
        <x:v>1.7056312668245568</x:v>
      </x:c>
      <x:c r="C10" s="22" t="n">
        <x:v>0.25331890688106695</x:v>
      </x:c>
      <x:c r="D10" s="22" t="n">
        <x:v>0.1197187190016484</x:v>
      </x:c>
      <x:c r="E10" s="2"/>
      <x:c r="F10" s="2"/>
    </x:row>
    <x:row r="11" ht="22" customHeight="1">
      <x:c r="A11" s="15" t="str">
        <x:v>Сингапур</x:v>
      </x:c>
      <x:c r="B11" s="22" t="n">
        <x:v>0.3655223403982562</x:v>
      </x:c>
      <x:c r="C11" s="22" t="n">
        <x:v>0.3023134177797703</x:v>
      </x:c>
      <x:c r="D11" s="22" t="n">
        <x:v>1.1017604468524047</x:v>
      </x:c>
      <x:c r="E11" s="2"/>
      <x:c r="F11" s="2"/>
    </x:row>
    <x:row r="12" ht="22" customHeight="1">
      <x:c r="A12" s="15" t="str">
        <x:v>Филиппины</x:v>
      </x:c>
      <x:c r="B12" s="22" t="n">
        <x:v>0.9165547426447905</x:v>
      </x:c>
      <x:c r="C12" s="22" t="n">
        <x:v>0.1317482047713364</x:v>
      </x:c>
      <x:c r="D12" s="22" t="n">
        <x:v>1.010220119165794</x:v>
      </x:c>
      <x:c r="E12" s="2"/>
      <x:c r="F12" s="2"/>
    </x:row>
    <x:row r="13" ht="22" customHeight="1">
      <x:c r="A13" s="15" t="str">
        <x:v>США</x:v>
      </x:c>
      <x:c r="B13" s="22" t="n">
        <x:v>0.13230906274825904</x:v>
      </x:c>
      <x:c r="C13" s="22" t="n">
        <x:v>0.14055619415059695</x:v>
      </x:c>
      <x:c r="D13" s="22" t="n">
        <x:v>0.7554796739199254</x:v>
      </x:c>
      <x:c r="E13" s="2"/>
      <x:c r="F13" s="2"/>
    </x:row>
    <x:row r="14" ht="22" customHeight="1">
      <x:c r="A14" s="15" t="str">
        <x:v>Таиланд</x:v>
      </x:c>
      <x:c r="B14" s="22" t="n">
        <x:v>0.26252000655517915</x:v>
      </x:c>
      <x:c r="C14" s="22" t="n">
        <x:v>0.19965106575529176</x:v>
      </x:c>
      <x:c r="D14" s="22" t="n">
        <x:v>0.32387028530809986</x:v>
      </x:c>
      <x:c r="E14" s="2"/>
      <x:c r="F14" s="2"/>
    </x:row>
    <x:row r="15" ht="22" customHeight="1">
      <x:c r="A15" s="2"/>
      <x:c r="B15" s="2"/>
      <x:c r="C15" s="2"/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6" customHeight="1">
      <x:c r="A17" s="8" t="str">
        <x:v>Республика Корея</x:v>
      </x:c>
      <x:c r="B17" s="2"/>
      <x:c r="C17" s="2"/>
      <x:c r="D17" s="2"/>
      <x:c r="E17" s="2"/>
      <x:c r="F17" s="2"/>
    </x:row>
    <x:row r="18" ht="36" customHeight="1">
      <x:c r="A18" s="13" t="str">
        <x:v>Направление</x:v>
      </x:c>
      <x:c r="B18" s="13" t="str">
        <x:v>Процессоры и контроллеры</x:v>
      </x:c>
      <x:c r="C18" s="13" t="str">
        <x:v>Усилители</x:v>
      </x:c>
      <x:c r="D18" s="13" t="str">
        <x:v>Прочие интегральные схемы</x:v>
      </x:c>
      <x:c r="E18" s="2"/>
      <x:c r="F18" s="2"/>
    </x:row>
    <x:row r="19" ht="22" customHeight="1">
      <x:c r="A19" s="15" t="str">
        <x:v>Китай</x:v>
      </x:c>
      <x:c r="B19" s="22" t="n">
        <x:v>0.06593899771135384</x:v>
      </x:c>
      <x:c r="C19" s="22" t="n">
        <x:v>0.8258260181559273</x:v>
      </x:c>
      <x:c r="D19" s="22" t="n">
        <x:v>0.1081554135253739</x:v>
      </x:c>
      <x:c r="E19" s="2"/>
      <x:c r="F19" s="2"/>
    </x:row>
    <x:row r="20" ht="22" customHeight="1">
      <x:c r="A20" s="15" t="str">
        <x:v>Гонконг</x:v>
      </x:c>
      <x:c r="B20" s="22" t="n">
        <x:v>0.3177347382889246</x:v>
      </x:c>
      <x:c r="C20" s="22" t="n">
        <x:v>0.2984741761634735</x:v>
      </x:c>
      <x:c r="D20" s="22" t="n">
        <x:v>0.1380767183662164</x:v>
      </x:c>
      <x:c r="E20" s="2"/>
      <x:c r="F20" s="2"/>
    </x:row>
    <x:row r="21" ht="22" customHeight="1">
      <x:c r="A21" s="15" t="str">
        <x:v>Прочая Азия, н.в.д. (490)</x:v>
      </x:c>
      <x:c r="B21" s="22" t="n">
        <x:v>0.33356414623843944</x:v>
      </x:c>
      <x:c r="C21" s="22" t="n">
        <x:v>3.9657824317506845</x:v>
      </x:c>
      <x:c r="D21" s="22" t="n">
        <x:v>0.08820704267323741</x:v>
      </x:c>
      <x:c r="E21" s="2"/>
      <x:c r="F21" s="2"/>
    </x:row>
    <x:row r="22" ht="22" customHeight="1">
      <x:c r="A22" s="15" t="str">
        <x:v>Вьетнам</x:v>
      </x:c>
      <x:c r="B22" s="22" t="n">
        <x:v>0.13238173685081325</x:v>
      </x:c>
      <x:c r="C22" s="22" t="n">
        <x:v>0.04577168150017477</x:v>
      </x:c>
      <x:c r="D22" s="22" t="n">
        <x:v>0.1325894460994469</x:v>
      </x:c>
      <x:c r="E22" s="2"/>
      <x:c r="F22" s="2"/>
    </x:row>
    <x:row r="23" ht="22" customHeight="1">
      <x:c r="A23" s="15" t="str">
        <x:v>Сингапур</x:v>
      </x:c>
      <x:c r="B23" s="22" t="n">
        <x:v>0.26683228776432544</x:v>
      </x:c>
      <x:c r="C23" s="22" t="n">
        <x:v>5.952056167736783</x:v>
      </x:c>
      <x:c r="D23" s="22" t="n">
        <x:v>3.281525914884861</x:v>
      </x:c>
      <x:c r="E23" s="2"/>
      <x:c r="F23" s="2"/>
    </x:row>
    <x:row r="24" ht="22" customHeight="1">
      <x:c r="A24" s="15" t="str">
        <x:v>Филиппины</x:v>
      </x:c>
      <x:c r="B24" s="22" t="n">
        <x:v>1.5403152491878145</x:v>
      </x:c>
      <x:c r="C24" s="22" t="n">
        <x:v>18.188256252283036</x:v>
      </x:c>
      <x:c r="D24" s="22" t="n">
        <x:v>3.8555474645271386</x:v>
      </x:c>
      <x:c r="E24" s="2"/>
      <x:c r="F24" s="2"/>
    </x:row>
    <x:row r="25" ht="22" customHeight="1">
      <x:c r="A25" s="15" t="str">
        <x:v>США</x:v>
      </x:c>
      <x:c r="B25" s="22" t="n">
        <x:v>0.6943811472878789</x:v>
      </x:c>
      <x:c r="C25" s="22" t="n">
        <x:v>3.8198924740349294</x:v>
      </x:c>
      <x:c r="D25" s="22" t="n">
        <x:v>7.217829592616859</x:v>
      </x:c>
      <x:c r="E25" s="2"/>
      <x:c r="F25" s="2"/>
    </x:row>
    <x:row r="26" ht="22" customHeight="1">
      <x:c r="A26" s="15" t="str">
        <x:v>Таиланд</x:v>
      </x:c>
      <x:c r="B26" s="22" t="n">
        <x:v>3.022292718533362</x:v>
      </x:c>
      <x:c r="C26" s="22" t="n">
        <x:v>9.393709764483415</x:v>
      </x:c>
      <x:c r="D26" s="22" t="n">
        <x:v>1.3939786405125116</x:v>
      </x:c>
      <x:c r="E26" s="2"/>
      <x:c r="F26" s="2"/>
    </x:row>
    <x:row r="27" ht="22" customHeight="1">
      <x:c r="A27" s="2"/>
      <x:c r="B27" s="2"/>
      <x:c r="C27" s="2"/>
      <x:c r="D27" s="2"/>
      <x:c r="E27" s="2"/>
      <x:c r="F27" s="2"/>
    </x:row>
    <x:row r="28" ht="22" customHeight="1">
      <x:c r="A28" s="2"/>
      <x:c r="B28" s="2"/>
      <x:c r="C28" s="2"/>
      <x:c r="D28" s="2"/>
      <x:c r="E28" s="2"/>
      <x:c r="F28" s="2"/>
    </x:row>
    <x:row r="29" ht="26" customHeight="1">
      <x:c r="A29" s="8" t="str">
        <x:v>Исходные суммы сценария</x:v>
      </x:c>
      <x:c r="B29" s="2"/>
      <x:c r="C29" s="2"/>
      <x:c r="D29" s="2"/>
      <x:c r="E29" s="2"/>
      <x:c r="F29" s="2"/>
    </x:row>
    <x:row r="30" ht="36" customHeight="1">
      <x:c r="A30" s="13" t="str">
        <x:v>Страна</x:v>
      </x:c>
      <x:c r="B30" s="13" t="str">
        <x:v>Направление</x:v>
      </x:c>
      <x:c r="C30" s="13" t="str">
        <x:v>HS</x:v>
      </x:c>
      <x:c r="D30" s="13" t="str">
        <x:v>Экспорт 2024, долл.</x:v>
      </x:c>
      <x:c r="E30" s="13" t="str">
        <x:v>Добавка, долл.</x:v>
      </x:c>
      <x:c r="F30" s="13" t="str">
        <x:v>Требуемый рост</x:v>
      </x:c>
    </x:row>
    <x:row r="31" ht="22" customHeight="1">
      <x:c r="A31" s="15" t="str">
        <x:v>Япония</x:v>
      </x:c>
      <x:c r="B31" s="15" t="str">
        <x:v>Китай</x:v>
      </x:c>
      <x:c r="C31" s="15" t="str">
        <x:v>854231</x:v>
      </x:c>
      <x:c r="D31" s="19" t="n">
        <x:v>983107083.3649999</x:v>
      </x:c>
      <x:c r="E31" s="19" t="n">
        <x:v>52751049.711767994</x:v>
      </x:c>
      <x:c r="F31" s="22" t="n">
        <x:f>E31/D31</x:f>
        <x:v>0.053657481066264494</x:v>
      </x:c>
    </x:row>
    <x:row r="32" ht="22" customHeight="1">
      <x:c r="A32" s="15" t="str">
        <x:v>Япония</x:v>
      </x:c>
      <x:c r="B32" s="15" t="str">
        <x:v>Китай</x:v>
      </x:c>
      <x:c r="C32" s="15" t="str">
        <x:v>854233</x:v>
      </x:c>
      <x:c r="D32" s="19" t="n">
        <x:v>21759421.777</x:v>
      </x:c>
      <x:c r="E32" s="19" t="n">
        <x:v>3638070.851679233</x:v>
      </x:c>
      <x:c r="F32" s="22" t="n">
        <x:f>E32/D32</x:f>
        <x:v>0.16719519888734924</x:v>
      </x:c>
    </x:row>
    <x:row r="33" ht="22" customHeight="1">
      <x:c r="A33" s="15" t="str">
        <x:v>Япония</x:v>
      </x:c>
      <x:c r="B33" s="15" t="str">
        <x:v>Китай</x:v>
      </x:c>
      <x:c r="C33" s="15" t="str">
        <x:v>854239</x:v>
      </x:c>
      <x:c r="D33" s="19" t="n">
        <x:v>1223282540.148</x:v>
      </x:c>
      <x:c r="E33" s="19" t="n">
        <x:v>247390363.59971282</x:v>
      </x:c>
      <x:c r="F33" s="22" t="n">
        <x:f>E33/D33</x:f>
        <x:v>0.2022348521133818</x:v>
      </x:c>
    </x:row>
    <x:row r="34" ht="22" customHeight="1">
      <x:c r="A34" s="15" t="str">
        <x:v>Япония</x:v>
      </x:c>
      <x:c r="B34" s="15" t="str">
        <x:v>Гонконг</x:v>
      </x:c>
      <x:c r="C34" s="15" t="str">
        <x:v>854231</x:v>
      </x:c>
      <x:c r="D34" s="19" t="n">
        <x:v>286582525.554</x:v>
      </x:c>
      <x:c r="E34" s="19" t="n">
        <x:v>52751049.711767994</x:v>
      </x:c>
      <x:c r="F34" s="22" t="n">
        <x:f>E34/D34</x:f>
        <x:v>0.18406931689150827</x:v>
      </x:c>
    </x:row>
    <x:row r="35" ht="22" customHeight="1">
      <x:c r="A35" s="15" t="str">
        <x:v>Япония</x:v>
      </x:c>
      <x:c r="B35" s="15" t="str">
        <x:v>Гонконг</x:v>
      </x:c>
      <x:c r="C35" s="15" t="str">
        <x:v>854233</x:v>
      </x:c>
      <x:c r="D35" s="19" t="n">
        <x:v>26830226.737999998</x:v>
      </x:c>
      <x:c r="E35" s="19" t="n">
        <x:v>3638070.851679233</x:v>
      </x:c>
      <x:c r="F35" s="22" t="n">
        <x:f>E35/D35</x:f>
        <x:v>0.13559597864026196</x:v>
      </x:c>
    </x:row>
    <x:row r="36" ht="22" customHeight="1">
      <x:c r="A36" s="15" t="str">
        <x:v>Япония</x:v>
      </x:c>
      <x:c r="B36" s="15" t="str">
        <x:v>Гонконг</x:v>
      </x:c>
      <x:c r="C36" s="15" t="str">
        <x:v>854239</x:v>
      </x:c>
      <x:c r="D36" s="19" t="n">
        <x:v>4514957055.735001</x:v>
      </x:c>
      <x:c r="E36" s="19" t="n">
        <x:v>247390363.59971282</x:v>
      </x:c>
      <x:c r="F36" s="22" t="n">
        <x:f>E36/D36</x:f>
        <x:v>0.05479351421193962</x:v>
      </x:c>
    </x:row>
    <x:row r="37" ht="22" customHeight="1">
      <x:c r="A37" s="15" t="str">
        <x:v>Япония</x:v>
      </x:c>
      <x:c r="B37" s="15" t="str">
        <x:v>Прочая Азия, н.в.д. (490)</x:v>
      </x:c>
      <x:c r="C37" s="15" t="str">
        <x:v>854231</x:v>
      </x:c>
      <x:c r="D37" s="19" t="n">
        <x:v>307833919.457</x:v>
      </x:c>
      <x:c r="E37" s="19" t="n">
        <x:v>52751049.711767994</x:v>
      </x:c>
      <x:c r="F37" s="22" t="n">
        <x:f>E37/D37</x:f>
        <x:v>0.17136204419843526</x:v>
      </x:c>
    </x:row>
    <x:row r="38" ht="22" customHeight="1">
      <x:c r="A38" s="15" t="str">
        <x:v>Япония</x:v>
      </x:c>
      <x:c r="B38" s="15" t="str">
        <x:v>Прочая Азия, н.в.д. (490)</x:v>
      </x:c>
      <x:c r="C38" s="15" t="str">
        <x:v>854233</x:v>
      </x:c>
      <x:c r="D38" s="19" t="n">
        <x:v>7672359.693</x:v>
      </x:c>
      <x:c r="E38" s="19" t="n">
        <x:v>3638070.851679233</x:v>
      </x:c>
      <x:c r="F38" s="22" t="n">
        <x:f>E38/D38</x:f>
        <x:v>0.47417887028921296</x:v>
      </x:c>
    </x:row>
    <x:row r="39" ht="22" customHeight="1">
      <x:c r="A39" s="15" t="str">
        <x:v>Япония</x:v>
      </x:c>
      <x:c r="B39" s="15" t="str">
        <x:v>Прочая Азия, н.в.д. (490)</x:v>
      </x:c>
      <x:c r="C39" s="15" t="str">
        <x:v>854239</x:v>
      </x:c>
      <x:c r="D39" s="19" t="n">
        <x:v>643493857.1739999</x:v>
      </x:c>
      <x:c r="E39" s="19" t="n">
        <x:v>247390363.59971282</x:v>
      </x:c>
      <x:c r="F39" s="22" t="n">
        <x:f>E39/D39</x:f>
        <x:v>0.38444867941112104</x:v>
      </x:c>
    </x:row>
    <x:row r="40" ht="22" customHeight="1">
      <x:c r="A40" s="15" t="str">
        <x:v>Япония</x:v>
      </x:c>
      <x:c r="B40" s="15" t="str">
        <x:v>Вьетнам</x:v>
      </x:c>
      <x:c r="C40" s="15" t="str">
        <x:v>854231</x:v>
      </x:c>
      <x:c r="D40" s="19" t="n">
        <x:v>30927581.323000003</x:v>
      </x:c>
      <x:c r="E40" s="19" t="n">
        <x:v>52751049.711767994</x:v>
      </x:c>
      <x:c r="F40" s="22" t="n">
        <x:f>E40/D40</x:f>
        <x:v>1.7056312668245568</x:v>
      </x:c>
    </x:row>
    <x:row r="41" ht="22" customHeight="1">
      <x:c r="A41" s="15" t="str">
        <x:v>Япония</x:v>
      </x:c>
      <x:c r="B41" s="15" t="str">
        <x:v>Вьетнам</x:v>
      </x:c>
      <x:c r="C41" s="15" t="str">
        <x:v>854233</x:v>
      </x:c>
      <x:c r="D41" s="19" t="n">
        <x:v>14361623.838</x:v>
      </x:c>
      <x:c r="E41" s="19" t="n">
        <x:v>3638070.851679233</x:v>
      </x:c>
      <x:c r="F41" s="22" t="n">
        <x:f>E41/D41</x:f>
        <x:v>0.25331890688106695</x:v>
      </x:c>
    </x:row>
    <x:row r="42" ht="22" customHeight="1">
      <x:c r="A42" s="15" t="str">
        <x:v>Япония</x:v>
      </x:c>
      <x:c r="B42" s="15" t="str">
        <x:v>Вьетнам</x:v>
      </x:c>
      <x:c r="C42" s="15" t="str">
        <x:v>854239</x:v>
      </x:c>
      <x:c r="D42" s="19" t="n">
        <x:v>2066430092.66</x:v>
      </x:c>
      <x:c r="E42" s="19" t="n">
        <x:v>247390363.59971282</x:v>
      </x:c>
      <x:c r="F42" s="22" t="n">
        <x:f>E42/D42</x:f>
        <x:v>0.1197187190016484</x:v>
      </x:c>
    </x:row>
    <x:row r="43" ht="22" customHeight="1">
      <x:c r="A43" s="15" t="str">
        <x:v>Япония</x:v>
      </x:c>
      <x:c r="B43" s="15" t="str">
        <x:v>Сингапур</x:v>
      </x:c>
      <x:c r="C43" s="15" t="str">
        <x:v>854231</x:v>
      </x:c>
      <x:c r="D43" s="19" t="n">
        <x:v>144316896.347</x:v>
      </x:c>
      <x:c r="E43" s="19" t="n">
        <x:v>52751049.711767994</x:v>
      </x:c>
      <x:c r="F43" s="22" t="n">
        <x:f>E43/D43</x:f>
        <x:v>0.3655223403982562</x:v>
      </x:c>
    </x:row>
    <x:row r="44" ht="22" customHeight="1">
      <x:c r="A44" s="15" t="str">
        <x:v>Япония</x:v>
      </x:c>
      <x:c r="B44" s="15" t="str">
        <x:v>Сингапур</x:v>
      </x:c>
      <x:c r="C44" s="15" t="str">
        <x:v>854233</x:v>
      </x:c>
      <x:c r="D44" s="19" t="n">
        <x:v>12034103.145000001</x:v>
      </x:c>
      <x:c r="E44" s="19" t="n">
        <x:v>3638070.851679233</x:v>
      </x:c>
      <x:c r="F44" s="22" t="n">
        <x:f>E44/D44</x:f>
        <x:v>0.3023134177797703</x:v>
      </x:c>
    </x:row>
    <x:row r="45" ht="22" customHeight="1">
      <x:c r="A45" s="15" t="str">
        <x:v>Япония</x:v>
      </x:c>
      <x:c r="B45" s="15" t="str">
        <x:v>Сингапур</x:v>
      </x:c>
      <x:c r="C45" s="15" t="str">
        <x:v>854239</x:v>
      </x:c>
      <x:c r="D45" s="19" t="n">
        <x:v>224540973.772</x:v>
      </x:c>
      <x:c r="E45" s="19" t="n">
        <x:v>247390363.59971282</x:v>
      </x:c>
      <x:c r="F45" s="22" t="n">
        <x:f>E45/D45</x:f>
        <x:v>1.1017604468524047</x:v>
      </x:c>
    </x:row>
    <x:row r="46" ht="22" customHeight="1">
      <x:c r="A46" s="15" t="str">
        <x:v>Япония</x:v>
      </x:c>
      <x:c r="B46" s="15" t="str">
        <x:v>Филиппины</x:v>
      </x:c>
      <x:c r="C46" s="15" t="str">
        <x:v>854231</x:v>
      </x:c>
      <x:c r="D46" s="19" t="n">
        <x:v>57553626.922</x:v>
      </x:c>
      <x:c r="E46" s="19" t="n">
        <x:v>52751049.711767994</x:v>
      </x:c>
      <x:c r="F46" s="22" t="n">
        <x:f>E46/D46</x:f>
        <x:v>0.9165547426447905</x:v>
      </x:c>
    </x:row>
    <x:row r="47" ht="22" customHeight="1">
      <x:c r="A47" s="15" t="str">
        <x:v>Япония</x:v>
      </x:c>
      <x:c r="B47" s="15" t="str">
        <x:v>Филиппины</x:v>
      </x:c>
      <x:c r="C47" s="15" t="str">
        <x:v>854233</x:v>
      </x:c>
      <x:c r="D47" s="19" t="n">
        <x:v>27613817.266000003</x:v>
      </x:c>
      <x:c r="E47" s="19" t="n">
        <x:v>3638070.851679233</x:v>
      </x:c>
      <x:c r="F47" s="22" t="n">
        <x:f>E47/D47</x:f>
        <x:v>0.1317482047713364</x:v>
      </x:c>
    </x:row>
    <x:row r="48" ht="22" customHeight="1">
      <x:c r="A48" s="15" t="str">
        <x:v>Япония</x:v>
      </x:c>
      <x:c r="B48" s="15" t="str">
        <x:v>Филиппины</x:v>
      </x:c>
      <x:c r="C48" s="15" t="str">
        <x:v>854239</x:v>
      </x:c>
      <x:c r="D48" s="19" t="n">
        <x:v>244887583.316</x:v>
      </x:c>
      <x:c r="E48" s="19" t="n">
        <x:v>247390363.59971282</x:v>
      </x:c>
      <x:c r="F48" s="22" t="n">
        <x:f>E48/D48</x:f>
        <x:v>1.010220119165794</x:v>
      </x:c>
    </x:row>
    <x:row r="49" ht="22" customHeight="1">
      <x:c r="A49" s="15" t="str">
        <x:v>Япония</x:v>
      </x:c>
      <x:c r="B49" s="15" t="str">
        <x:v>США</x:v>
      </x:c>
      <x:c r="C49" s="15" t="str">
        <x:v>854231</x:v>
      </x:c>
      <x:c r="D49" s="19" t="n">
        <x:v>398695664.65099996</x:v>
      </x:c>
      <x:c r="E49" s="19" t="n">
        <x:v>52751049.711767994</x:v>
      </x:c>
      <x:c r="F49" s="22" t="n">
        <x:f>E49/D49</x:f>
        <x:v>0.13230906274825904</x:v>
      </x:c>
    </x:row>
    <x:row r="50" ht="22" customHeight="1">
      <x:c r="A50" s="15" t="str">
        <x:v>Япония</x:v>
      </x:c>
      <x:c r="B50" s="15" t="str">
        <x:v>США</x:v>
      </x:c>
      <x:c r="C50" s="15" t="str">
        <x:v>854233</x:v>
      </x:c>
      <x:c r="D50" s="19" t="n">
        <x:v>25883390.438</x:v>
      </x:c>
      <x:c r="E50" s="19" t="n">
        <x:v>3638070.851679233</x:v>
      </x:c>
      <x:c r="F50" s="22" t="n">
        <x:f>E50/D50</x:f>
        <x:v>0.14055619415059695</x:v>
      </x:c>
    </x:row>
    <x:row r="51" ht="22" customHeight="1">
      <x:c r="A51" s="15" t="str">
        <x:v>Япония</x:v>
      </x:c>
      <x:c r="B51" s="15" t="str">
        <x:v>США</x:v>
      </x:c>
      <x:c r="C51" s="15" t="str">
        <x:v>854239</x:v>
      </x:c>
      <x:c r="D51" s="19" t="n">
        <x:v>327461309.867</x:v>
      </x:c>
      <x:c r="E51" s="19" t="n">
        <x:v>247390363.59971282</x:v>
      </x:c>
      <x:c r="F51" s="22" t="n">
        <x:f>E51/D51</x:f>
        <x:v>0.7554796739199254</x:v>
      </x:c>
    </x:row>
    <x:row r="52" ht="22" customHeight="1">
      <x:c r="A52" s="15" t="str">
        <x:v>Япония</x:v>
      </x:c>
      <x:c r="B52" s="15" t="str">
        <x:v>Таиланд</x:v>
      </x:c>
      <x:c r="C52" s="15" t="str">
        <x:v>854231</x:v>
      </x:c>
      <x:c r="D52" s="19" t="n">
        <x:v>200941065.04099998</x:v>
      </x:c>
      <x:c r="E52" s="19" t="n">
        <x:v>52751049.711767994</x:v>
      </x:c>
      <x:c r="F52" s="22" t="n">
        <x:f>E52/D52</x:f>
        <x:v>0.26252000655517915</x:v>
      </x:c>
    </x:row>
    <x:row r="53" ht="22" customHeight="1">
      <x:c r="A53" s="15" t="str">
        <x:v>Япония</x:v>
      </x:c>
      <x:c r="B53" s="15" t="str">
        <x:v>Таиланд</x:v>
      </x:c>
      <x:c r="C53" s="15" t="str">
        <x:v>854233</x:v>
      </x:c>
      <x:c r="D53" s="19" t="n">
        <x:v>18222145.912</x:v>
      </x:c>
      <x:c r="E53" s="19" t="n">
        <x:v>3638070.851679233</x:v>
      </x:c>
      <x:c r="F53" s="22" t="n">
        <x:f>E53/D53</x:f>
        <x:v>0.19965106575529176</x:v>
      </x:c>
    </x:row>
    <x:row r="54" ht="22" customHeight="1">
      <x:c r="A54" s="15" t="str">
        <x:v>Япония</x:v>
      </x:c>
      <x:c r="B54" s="15" t="str">
        <x:v>Таиланд</x:v>
      </x:c>
      <x:c r="C54" s="15" t="str">
        <x:v>854239</x:v>
      </x:c>
      <x:c r="D54" s="19" t="n">
        <x:v>763856317.86</x:v>
      </x:c>
      <x:c r="E54" s="19" t="n">
        <x:v>247390363.59971282</x:v>
      </x:c>
      <x:c r="F54" s="22" t="n">
        <x:f>E54/D54</x:f>
        <x:v>0.32387028530809986</x:v>
      </x:c>
    </x:row>
    <x:row r="55" ht="22" customHeight="1">
      <x:c r="A55" s="15" t="str">
        <x:v>Республика Корея</x:v>
      </x:c>
      <x:c r="B55" s="15" t="str">
        <x:v>Китай</x:v>
      </x:c>
      <x:c r="C55" s="15" t="str">
        <x:v>854231</x:v>
      </x:c>
      <x:c r="D55" s="19" t="n">
        <x:v>13626756156</x:v>
      </x:c>
      <x:c r="E55" s="19" t="n">
        <x:v>898534642.9836608</x:v>
      </x:c>
      <x:c r="F55" s="22" t="n">
        <x:f>E55/D55</x:f>
        <x:v>0.06593899771135384</x:v>
      </x:c>
    </x:row>
    <x:row r="56" ht="22" customHeight="1">
      <x:c r="A56" s="15" t="str">
        <x:v>Республика Корея</x:v>
      </x:c>
      <x:c r="B56" s="15" t="str">
        <x:v>Китай</x:v>
      </x:c>
      <x:c r="C56" s="15" t="str">
        <x:v>854233</x:v>
      </x:c>
      <x:c r="D56" s="19" t="n">
        <x:v>6908038</x:v>
      </x:c>
      <x:c r="E56" s="19" t="n">
        <x:v>5704837.514809836</x:v>
      </x:c>
      <x:c r="F56" s="22" t="n">
        <x:f>E56/D56</x:f>
        <x:v>0.8258260181559273</x:v>
      </x:c>
    </x:row>
    <x:row r="57" ht="22" customHeight="1">
      <x:c r="A57" s="15" t="str">
        <x:v>Республика Корея</x:v>
      </x:c>
      <x:c r="B57" s="15" t="str">
        <x:v>Китай</x:v>
      </x:c>
      <x:c r="C57" s="15" t="str">
        <x:v>854239</x:v>
      </x:c>
      <x:c r="D57" s="19" t="n">
        <x:v>2717945343</x:v>
      </x:c>
      <x:c r="E57" s="19" t="n">
        <x:v>293960502.51152927</x:v>
      </x:c>
      <x:c r="F57" s="22" t="n">
        <x:f>E57/D57</x:f>
        <x:v>0.10815541352537392</x:v>
      </x:c>
    </x:row>
    <x:row r="58" ht="22" customHeight="1">
      <x:c r="A58" s="15" t="str">
        <x:v>Республика Корея</x:v>
      </x:c>
      <x:c r="B58" s="15" t="str">
        <x:v>Гонконг</x:v>
      </x:c>
      <x:c r="C58" s="15" t="str">
        <x:v>854231</x:v>
      </x:c>
      <x:c r="D58" s="19" t="n">
        <x:v>2827939582</x:v>
      </x:c>
      <x:c r="E58" s="19" t="n">
        <x:v>898534642.9836608</x:v>
      </x:c>
      <x:c r="F58" s="22" t="n">
        <x:f>E58/D58</x:f>
        <x:v>0.3177347382889246</x:v>
      </x:c>
    </x:row>
    <x:row r="59" ht="22" customHeight="1">
      <x:c r="A59" s="15" t="str">
        <x:v>Республика Корея</x:v>
      </x:c>
      <x:c r="B59" s="15" t="str">
        <x:v>Гонконг</x:v>
      </x:c>
      <x:c r="C59" s="15" t="str">
        <x:v>854233</x:v>
      </x:c>
      <x:c r="D59" s="19" t="n">
        <x:v>19113337</x:v>
      </x:c>
      <x:c r="E59" s="19" t="n">
        <x:v>5704837.514809836</x:v>
      </x:c>
      <x:c r="F59" s="22" t="n">
        <x:f>E59/D59</x:f>
        <x:v>0.2984741761634735</x:v>
      </x:c>
    </x:row>
    <x:row r="60" ht="22" customHeight="1">
      <x:c r="A60" s="15" t="str">
        <x:v>Республика Корея</x:v>
      </x:c>
      <x:c r="B60" s="15" t="str">
        <x:v>Гонконг</x:v>
      </x:c>
      <x:c r="C60" s="15" t="str">
        <x:v>854239</x:v>
      </x:c>
      <x:c r="D60" s="19" t="n">
        <x:v>2128965013</x:v>
      </x:c>
      <x:c r="E60" s="19" t="n">
        <x:v>293960502.51152927</x:v>
      </x:c>
      <x:c r="F60" s="22" t="n">
        <x:f>E60/D60</x:f>
        <x:v>0.1380767183662164</x:v>
      </x:c>
    </x:row>
    <x:row r="61" ht="22" customHeight="1">
      <x:c r="A61" s="15" t="str">
        <x:v>Республика Корея</x:v>
      </x:c>
      <x:c r="B61" s="15" t="str">
        <x:v>Прочая Азия, н.в.д. (490)</x:v>
      </x:c>
      <x:c r="C61" s="15" t="str">
        <x:v>854231</x:v>
      </x:c>
      <x:c r="D61" s="19" t="n">
        <x:v>2693738680</x:v>
      </x:c>
      <x:c r="E61" s="19" t="n">
        <x:v>898534642.9836608</x:v>
      </x:c>
      <x:c r="F61" s="22" t="n">
        <x:f>E61/D61</x:f>
        <x:v>0.33356414623843944</x:v>
      </x:c>
    </x:row>
    <x:row r="62" ht="22" customHeight="1">
      <x:c r="A62" s="15" t="str">
        <x:v>Республика Корея</x:v>
      </x:c>
      <x:c r="B62" s="15" t="str">
        <x:v>Прочая Азия, н.в.д. (490)</x:v>
      </x:c>
      <x:c r="C62" s="15" t="str">
        <x:v>854233</x:v>
      </x:c>
      <x:c r="D62" s="19" t="n">
        <x:v>1438515</x:v>
      </x:c>
      <x:c r="E62" s="19" t="n">
        <x:v>5704837.514809836</x:v>
      </x:c>
      <x:c r="F62" s="22" t="n">
        <x:f>E62/D62</x:f>
        <x:v>3.9657824317506845</x:v>
      </x:c>
    </x:row>
    <x:row r="63" ht="22" customHeight="1">
      <x:c r="A63" s="15" t="str">
        <x:v>Республика Корея</x:v>
      </x:c>
      <x:c r="B63" s="15" t="str">
        <x:v>Прочая Азия, н.в.д. (490)</x:v>
      </x:c>
      <x:c r="C63" s="15" t="str">
        <x:v>854239</x:v>
      </x:c>
      <x:c r="D63" s="19" t="n">
        <x:v>3332619410</x:v>
      </x:c>
      <x:c r="E63" s="19" t="n">
        <x:v>293960502.51152927</x:v>
      </x:c>
      <x:c r="F63" s="22" t="n">
        <x:f>E63/D63</x:f>
        <x:v>0.08820704267323741</x:v>
      </x:c>
    </x:row>
    <x:row r="64" ht="22" customHeight="1">
      <x:c r="A64" s="15" t="str">
        <x:v>Республика Корея</x:v>
      </x:c>
      <x:c r="B64" s="15" t="str">
        <x:v>Вьетнам</x:v>
      </x:c>
      <x:c r="C64" s="15" t="str">
        <x:v>854231</x:v>
      </x:c>
      <x:c r="D64" s="19" t="n">
        <x:v>6787451686</x:v>
      </x:c>
      <x:c r="E64" s="19" t="n">
        <x:v>898534642.9836608</x:v>
      </x:c>
      <x:c r="F64" s="22" t="n">
        <x:f>E64/D64</x:f>
        <x:v>0.13238173685081325</x:v>
      </x:c>
    </x:row>
    <x:row r="65" ht="22" customHeight="1">
      <x:c r="A65" s="15" t="str">
        <x:v>Республика Корея</x:v>
      </x:c>
      <x:c r="B65" s="15" t="str">
        <x:v>Вьетнам</x:v>
      </x:c>
      <x:c r="C65" s="15" t="str">
        <x:v>854233</x:v>
      </x:c>
      <x:c r="D65" s="19" t="n">
        <x:v>124636835</x:v>
      </x:c>
      <x:c r="E65" s="19" t="n">
        <x:v>5704837.514809836</x:v>
      </x:c>
      <x:c r="F65" s="22" t="n">
        <x:f>E65/D65</x:f>
        <x:v>0.04577168150017477</x:v>
      </x:c>
    </x:row>
    <x:row r="66" ht="22" customHeight="1">
      <x:c r="A66" s="15" t="str">
        <x:v>Республика Корея</x:v>
      </x:c>
      <x:c r="B66" s="15" t="str">
        <x:v>Вьетнам</x:v>
      </x:c>
      <x:c r="C66" s="15" t="str">
        <x:v>854239</x:v>
      </x:c>
      <x:c r="D66" s="19" t="n">
        <x:v>2217073162</x:v>
      </x:c>
      <x:c r="E66" s="19" t="n">
        <x:v>293960502.51152927</x:v>
      </x:c>
      <x:c r="F66" s="22" t="n">
        <x:f>E66/D66</x:f>
        <x:v>0.1325894460994469</x:v>
      </x:c>
    </x:row>
    <x:row r="67" ht="22" customHeight="1">
      <x:c r="A67" s="15" t="str">
        <x:v>Республика Корея</x:v>
      </x:c>
      <x:c r="B67" s="15" t="str">
        <x:v>Сингапур</x:v>
      </x:c>
      <x:c r="C67" s="15" t="str">
        <x:v>854231</x:v>
      </x:c>
      <x:c r="D67" s="19" t="n">
        <x:v>3367413481</x:v>
      </x:c>
      <x:c r="E67" s="19" t="n">
        <x:v>898534642.9836608</x:v>
      </x:c>
      <x:c r="F67" s="22" t="n">
        <x:f>E67/D67</x:f>
        <x:v>0.26683228776432544</x:v>
      </x:c>
    </x:row>
    <x:row r="68" ht="22" customHeight="1">
      <x:c r="A68" s="15" t="str">
        <x:v>Республика Корея</x:v>
      </x:c>
      <x:c r="B68" s="15" t="str">
        <x:v>Сингапур</x:v>
      </x:c>
      <x:c r="C68" s="15" t="str">
        <x:v>854233</x:v>
      </x:c>
      <x:c r="D68" s="19" t="n">
        <x:v>958465</x:v>
      </x:c>
      <x:c r="E68" s="19" t="n">
        <x:v>5704837.514809836</x:v>
      </x:c>
      <x:c r="F68" s="22" t="n">
        <x:f>E68/D68</x:f>
        <x:v>5.952056167736783</x:v>
      </x:c>
    </x:row>
    <x:row r="69" ht="22" customHeight="1">
      <x:c r="A69" s="15" t="str">
        <x:v>Республика Корея</x:v>
      </x:c>
      <x:c r="B69" s="15" t="str">
        <x:v>Сингапур</x:v>
      </x:c>
      <x:c r="C69" s="15" t="str">
        <x:v>854239</x:v>
      </x:c>
      <x:c r="D69" s="19" t="n">
        <x:v>89580430</x:v>
      </x:c>
      <x:c r="E69" s="19" t="n">
        <x:v>293960502.51152927</x:v>
      </x:c>
      <x:c r="F69" s="22" t="n">
        <x:f>E69/D69</x:f>
        <x:v>3.281525914884861</x:v>
      </x:c>
    </x:row>
    <x:row r="70" ht="22" customHeight="1">
      <x:c r="A70" s="15" t="str">
        <x:v>Республика Корея</x:v>
      </x:c>
      <x:c r="B70" s="15" t="str">
        <x:v>Филиппины</x:v>
      </x:c>
      <x:c r="C70" s="15" t="str">
        <x:v>854231</x:v>
      </x:c>
      <x:c r="D70" s="19" t="n">
        <x:v>583344639</x:v>
      </x:c>
      <x:c r="E70" s="19" t="n">
        <x:v>898534642.9836608</x:v>
      </x:c>
      <x:c r="F70" s="22" t="n">
        <x:f>E70/D70</x:f>
        <x:v>1.5403152491878147</x:v>
      </x:c>
    </x:row>
    <x:row r="71" ht="22" customHeight="1">
      <x:c r="A71" s="15" t="str">
        <x:v>Республика Корея</x:v>
      </x:c>
      <x:c r="B71" s="15" t="str">
        <x:v>Филиппины</x:v>
      </x:c>
      <x:c r="C71" s="15" t="str">
        <x:v>854233</x:v>
      </x:c>
      <x:c r="D71" s="19" t="n">
        <x:v>313655</x:v>
      </x:c>
      <x:c r="E71" s="19" t="n">
        <x:v>5704837.514809836</x:v>
      </x:c>
      <x:c r="F71" s="22" t="n">
        <x:f>E71/D71</x:f>
        <x:v>18.188256252283036</x:v>
      </x:c>
    </x:row>
    <x:row r="72" ht="22" customHeight="1">
      <x:c r="A72" s="15" t="str">
        <x:v>Республика Корея</x:v>
      </x:c>
      <x:c r="B72" s="15" t="str">
        <x:v>Филиппины</x:v>
      </x:c>
      <x:c r="C72" s="15" t="str">
        <x:v>854239</x:v>
      </x:c>
      <x:c r="D72" s="19" t="n">
        <x:v>76243518</x:v>
      </x:c>
      <x:c r="E72" s="19" t="n">
        <x:v>293960502.51152927</x:v>
      </x:c>
      <x:c r="F72" s="22" t="n">
        <x:f>E72/D72</x:f>
        <x:v>3.8555474645271386</x:v>
      </x:c>
    </x:row>
    <x:row r="73" ht="22" customHeight="1">
      <x:c r="A73" s="15" t="str">
        <x:v>Республика Корея</x:v>
      </x:c>
      <x:c r="B73" s="15" t="str">
        <x:v>США</x:v>
      </x:c>
      <x:c r="C73" s="15" t="str">
        <x:v>854231</x:v>
      </x:c>
      <x:c r="D73" s="19" t="n">
        <x:v>1294007832</x:v>
      </x:c>
      <x:c r="E73" s="19" t="n">
        <x:v>898534642.9836608</x:v>
      </x:c>
      <x:c r="F73" s="22" t="n">
        <x:f>E73/D73</x:f>
        <x:v>0.6943811472878789</x:v>
      </x:c>
    </x:row>
    <x:row r="74" ht="22" customHeight="1">
      <x:c r="A74" s="15" t="str">
        <x:v>Республика Корея</x:v>
      </x:c>
      <x:c r="B74" s="15" t="str">
        <x:v>США</x:v>
      </x:c>
      <x:c r="C74" s="15" t="str">
        <x:v>854233</x:v>
      </x:c>
      <x:c r="D74" s="19" t="n">
        <x:v>1493455</x:v>
      </x:c>
      <x:c r="E74" s="19" t="n">
        <x:v>5704837.514809836</x:v>
      </x:c>
      <x:c r="F74" s="22" t="n">
        <x:f>E74/D74</x:f>
        <x:v>3.8198924740349294</x:v>
      </x:c>
    </x:row>
    <x:row r="75" ht="22" customHeight="1">
      <x:c r="A75" s="15" t="str">
        <x:v>Республика Корея</x:v>
      </x:c>
      <x:c r="B75" s="15" t="str">
        <x:v>США</x:v>
      </x:c>
      <x:c r="C75" s="15" t="str">
        <x:v>854239</x:v>
      </x:c>
      <x:c r="D75" s="19" t="n">
        <x:v>40726994</x:v>
      </x:c>
      <x:c r="E75" s="19" t="n">
        <x:v>293960502.51152927</x:v>
      </x:c>
      <x:c r="F75" s="22" t="n">
        <x:f>E75/D75</x:f>
        <x:v>7.217829592616859</x:v>
      </x:c>
    </x:row>
    <x:row r="76" ht="22" customHeight="1">
      <x:c r="A76" s="15" t="str">
        <x:v>Республика Корея</x:v>
      </x:c>
      <x:c r="B76" s="15" t="str">
        <x:v>Таиланд</x:v>
      </x:c>
      <x:c r="C76" s="15" t="str">
        <x:v>854231</x:v>
      </x:c>
      <x:c r="D76" s="19" t="n">
        <x:v>297302322</x:v>
      </x:c>
      <x:c r="E76" s="19" t="n">
        <x:v>898534642.9836608</x:v>
      </x:c>
      <x:c r="F76" s="22" t="n">
        <x:f>E76/D76</x:f>
        <x:v>3.0222927185333615</x:v>
      </x:c>
    </x:row>
    <x:row r="77" ht="22" customHeight="1">
      <x:c r="A77" s="15" t="str">
        <x:v>Республика Корея</x:v>
      </x:c>
      <x:c r="B77" s="15" t="str">
        <x:v>Таиланд</x:v>
      </x:c>
      <x:c r="C77" s="15" t="str">
        <x:v>854233</x:v>
      </x:c>
      <x:c r="D77" s="19" t="n">
        <x:v>607304</x:v>
      </x:c>
      <x:c r="E77" s="19" t="n">
        <x:v>5704837.514809836</x:v>
      </x:c>
      <x:c r="F77" s="22" t="n">
        <x:f>E77/D77</x:f>
        <x:v>9.393709764483415</x:v>
      </x:c>
    </x:row>
    <x:row r="78" ht="22" customHeight="1">
      <x:c r="A78" s="15" t="str">
        <x:v>Республика Корея</x:v>
      </x:c>
      <x:c r="B78" s="15" t="str">
        <x:v>Таиланд</x:v>
      </x:c>
      <x:c r="C78" s="15" t="str">
        <x:v>854239</x:v>
      </x:c>
      <x:c r="D78" s="19" t="n">
        <x:v>210878771</x:v>
      </x:c>
      <x:c r="E78" s="19" t="n">
        <x:v>293960502.51152927</x:v>
      </x:c>
      <x:c r="F78" s="22" t="n">
        <x:f>E78/D78</x:f>
        <x:v>1.3939786405125116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40" hidden="0" customWidth="1"/>
    <x:col min="4" max="4" width="58" hidden="0" customWidth="1"/>
    <x:col min="5" max="5" width="54" hidden="0" customWidth="1"/>
    <x:col min="6" max="6" width="58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9" customHeight="1">
      <x:c r="A2" s="4" t="str">
        <x:v>3.5 Этапы отбора и реализации проекта</x:v>
      </x:c>
      <x:c r="B2" s="5"/>
      <x:c r="C2" s="5"/>
      <x:c r="D2" s="5"/>
      <x:c r="E2" s="5"/>
      <x:c r="F2" s="5"/>
    </x:row>
    <x:row r="3" ht="22" customHeight="1">
      <x:c r="A3" s="6" t="str">
        <x:v>Предлагаемые критерии, а не наблюдаемые бюджеты или сроки. Численные пороги должны задаваться по конкретному контракту.</x:v>
      </x:c>
      <x:c r="B3" s="2"/>
      <x:c r="C3" s="2"/>
      <x:c r="D3" s="2"/>
      <x:c r="E3" s="2"/>
      <x:c r="F3" s="2"/>
    </x:row>
    <x:row r="4" ht="22" customHeight="1">
      <x:c r="A4" s="7" t="str">
        <x:v>Источник: Авторские предложения, глава 3.2–3.3; MSS (2025), MOTIE (2025), METI (2024), Socionext (2025).</x:v>
      </x:c>
      <x:c r="B4" s="2"/>
      <x:c r="C4" s="2"/>
      <x:c r="D4" s="2"/>
      <x:c r="E4" s="2"/>
      <x:c r="F4" s="2"/>
    </x:row>
    <x:row r="5" ht="26" customHeight="1">
      <x:c r="A5" s="8" t="str">
        <x:v>Этапы и условия</x:v>
      </x:c>
      <x:c r="B5" s="2"/>
      <x:c r="C5" s="2"/>
      <x:c r="D5" s="2"/>
      <x:c r="E5" s="2"/>
      <x:c r="F5" s="2"/>
    </x:row>
    <x:row r="6" ht="36" customHeight="1">
      <x:c r="A6" s="13" t="str">
        <x:v>ID</x:v>
      </x:c>
      <x:c r="B6" s="13" t="str">
        <x:v>Этап</x:v>
      </x:c>
      <x:c r="C6" s="13" t="str">
        <x:v>Участники</x:v>
      </x:c>
      <x:c r="D6" s="13" t="str">
        <x:v>Данные для решения</x:v>
      </x:c>
      <x:c r="E6" s="13" t="str">
        <x:v>Продолжить</x:v>
      </x:c>
      <x:c r="F6" s="13" t="str">
        <x:v>Пересмотреть / остановить</x:v>
      </x:c>
    </x:row>
    <x:row r="7" ht="35" customHeight="1">
      <x:c r="A7" s="15" t="str">
        <x:v>SEL</x:v>
      </x:c>
      <x:c r="B7" s="15" t="str">
        <x:v>Отбор проекта</x:v>
      </x:c>
      <x:c r="C7" s="15" t="str">
        <x:v>Разработчик и заказчик</x:v>
      </x:c>
      <x:c r="D7" s="15" t="str">
        <x:v>Изделие, покупатель, применение, территория отгрузки</x:v>
      </x:c>
      <x:c r="E7" s="15" t="str">
        <x:v>Подтверждена задача покупателя</x:v>
      </x:c>
      <x:c r="F7" s="15" t="str">
        <x:v>Не определены спрос или маршрут поставок</x:v>
      </x:c>
    </x:row>
    <x:row r="8" ht="35" customHeight="1">
      <x:c r="A8" s="15" t="str">
        <x:v>DEV</x:v>
      </x:c>
      <x:c r="B8" s="15" t="str">
        <x:v>Разработка</x:v>
      </x:c>
      <x:c r="C8" s="15" t="str">
        <x:v>Разработчик и производственные партнёры</x:v>
      </x:c>
      <x:c r="D8" s="15" t="str">
        <x:v>Техническое задание, лицензии, NRE, бюджет образца</x:v>
      </x:c>
      <x:c r="E8" s="15" t="str">
        <x:v>Согласованы характеристики и распределение затрат</x:v>
      </x:c>
      <x:c r="F8" s="15" t="str">
        <x:v>Недоступен процесс или не согласовано возмещение затрат</x:v>
      </x:c>
    </x:row>
    <x:row r="9" ht="35" customHeight="1">
      <x:c r="A9" s="15" t="str">
        <x:v>PILOT</x:v>
      </x:c>
      <x:c r="B9" s="15" t="str">
        <x:v>Квалификация и пилот</x:v>
      </x:c>
      <x:c r="C9" s="15" t="str">
        <x:v>Производитель, испытатель и заказчик</x:v>
      </x:c>
      <x:c r="D9" s="15" t="str">
        <x:v>Результаты испытаний, выход годных, цена, условия серии</x:v>
      </x:c>
      <x:c r="E9" s="15" t="str">
        <x:v>Изделие принято, экономика заказа подтверждена</x:v>
      </x:c>
      <x:c r="F9" s="15" t="str">
        <x:v>Требуются доработка, изменение цены или маршрута</x:v>
      </x:c>
    </x:row>
    <x:row r="10" ht="35" customHeight="1">
      <x:c r="A10" s="15" t="str">
        <x:v>SCALE</x:v>
      </x:c>
      <x:c r="B10" s="15" t="str">
        <x:v>Расширение поставок</x:v>
      </x:c>
      <x:c r="C10" s="15" t="str">
        <x:v>Компания и финансирующая сторона</x:v>
      </x:c>
      <x:c r="D10" s="15" t="str">
        <x:v>Заказы, маржа, оборотный капитал, структура покупателей</x:v>
      </x:c>
      <x:c r="E10" s="15" t="str">
        <x:v>Экономика серии и источники спроса проверены</x:v>
      </x:c>
      <x:c r="F10" s="15" t="str">
        <x:v>Низкая отдача либо неучтённая зависимость от покупателя</x:v>
      </x:c>
    </x:row>
    <x:row r="11" ht="22" customHeight="1">
      <x:c r="A11" s="2"/>
      <x:c r="B11" s="2"/>
      <x:c r="C11" s="2"/>
      <x:c r="D11" s="2"/>
      <x:c r="E11" s="2"/>
      <x:c r="F11" s="2"/>
    </x:row>
    <x:row r="12" ht="22" customHeight="1">
      <x:c r="A12" s="2"/>
      <x:c r="B12" s="2"/>
      <x:c r="C12" s="2"/>
      <x:c r="D12" s="2"/>
      <x:c r="E12" s="2"/>
      <x:c r="F12" s="2"/>
    </x:row>
    <x:row r="13" ht="26" customHeight="1">
      <x:c r="A13" s="8" t="str">
        <x:v>Связи</x:v>
      </x:c>
      <x:c r="B13" s="2"/>
      <x:c r="C13" s="2"/>
      <x:c r="D13" s="2"/>
      <x:c r="E13" s="2"/>
      <x:c r="F13" s="2"/>
    </x:row>
    <x:row r="14" ht="36" customHeight="1">
      <x:c r="A14" s="13" t="str">
        <x:v>От этапа</x:v>
      </x:c>
      <x:c r="B14" s="13" t="str">
        <x:v>К этапу</x:v>
      </x:c>
      <x:c r="C14" s="13" t="str">
        <x:v>Условие</x:v>
      </x:c>
      <x:c r="D14" s="2"/>
      <x:c r="E14" s="2"/>
      <x:c r="F14" s="2"/>
    </x:row>
    <x:row r="15" ht="35" customHeight="1">
      <x:c r="A15" s="15" t="str">
        <x:v>SEL</x:v>
      </x:c>
      <x:c r="B15" s="15" t="str">
        <x:v>DEV</x:v>
      </x:c>
      <x:c r="C15" s="15" t="str">
        <x:v>Техническое задание и заказчик подтверждены</x:v>
      </x:c>
      <x:c r="D15" s="2"/>
      <x:c r="E15" s="2"/>
      <x:c r="F15" s="2"/>
    </x:row>
    <x:row r="16" ht="22" customHeight="1">
      <x:c r="A16" s="15" t="str">
        <x:v>DEV</x:v>
      </x:c>
      <x:c r="B16" s="15" t="str">
        <x:v>PILOT</x:v>
      </x:c>
      <x:c r="C16" s="15" t="str">
        <x:v>Образец готов к квалификации</x:v>
      </x:c>
      <x:c r="D16" s="2"/>
      <x:c r="E16" s="2"/>
      <x:c r="F16" s="2"/>
    </x:row>
    <x:row r="17" ht="35" customHeight="1">
      <x:c r="A17" s="15" t="str">
        <x:v>PILOT</x:v>
      </x:c>
      <x:c r="B17" s="15" t="str">
        <x:v>SCALE</x:v>
      </x:c>
      <x:c r="C17" s="15" t="str">
        <x:v>Квалификация и экономика серии подтверждены</x:v>
      </x:c>
      <x:c r="D17" s="2"/>
      <x:c r="E17" s="2"/>
      <x:c r="F17" s="2"/>
    </x:row>
    <x:row r="18" ht="22" customHeight="1">
      <x:c r="A18" s="15" t="str">
        <x:v>PILOT</x:v>
      </x:c>
      <x:c r="B18" s="15" t="str">
        <x:v>DEV</x:v>
      </x:c>
      <x:c r="C18" s="15" t="str">
        <x:v>Нужна техническая доработка</x:v>
      </x:c>
      <x:c r="D18" s="2"/>
      <x:c r="E18" s="2"/>
      <x:c r="F18" s="2"/>
    </x:row>
    <x:row r="19" ht="35" customHeight="1">
      <x:c r="A19" s="15" t="str">
        <x:v>SCALE</x:v>
      </x:c>
      <x:c r="B19" s="15" t="str">
        <x:v>SEL</x:v>
      </x:c>
      <x:c r="C19" s="15" t="str">
        <x:v>Пересмотр применения или покупателя</x:v>
      </x:c>
      <x:c r="D19" s="2"/>
      <x:c r="E19" s="2"/>
      <x:c r="F19" s="2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4" hidden="0" customWidth="1"/>
    <x:col min="4" max="4" width="24" hidden="0" customWidth="1"/>
    <x:col min="5" max="5" width="30" hidden="0" customWidth="1"/>
  </x:cols>
  <x:sheetData>
    <x:row r="1" ht="8" customHeight="1">
      <x:c r="A1" s="2"/>
      <x:c r="B1" s="2"/>
      <x:c r="C1" s="2"/>
      <x:c r="D1" s="2"/>
      <x:c r="E1" s="2"/>
    </x:row>
    <x:row r="2" ht="29" customHeight="1">
      <x:c r="A2" s="4" t="str">
        <x:v>Приложение А. Месячный рост по товарам</x:v>
      </x:c>
      <x:c r="B2" s="5"/>
      <x:c r="C2" s="5"/>
      <x:c r="D2" s="5"/>
      <x:c r="E2" s="5"/>
    </x:row>
    <x:row r="3" ht="22" customHeight="1">
      <x:c r="A3" s="6" t="str">
        <x:v>Симметричный рост агрегированного экспорта каждого товара к тому же месяцу прошлого года. Единицы — п.п.</x:v>
      </x:c>
      <x:c r="B3" s="2"/>
      <x:c r="C3" s="2"/>
      <x:c r="D3" s="2"/>
      <x:c r="E3" s="2"/>
    </x:row>
    <x:row r="4" ht="22" customHeight="1">
      <x:c r="A4" s="7" t="str">
        <x:v>Источник: S04</x:v>
      </x:c>
      <x:c r="B4" s="2"/>
      <x:c r="C4" s="2"/>
      <x:c r="D4" s="2"/>
      <x:c r="E4" s="2"/>
    </x:row>
    <x:row r="5" ht="26" customHeight="1">
      <x:c r="A5" s="8" t="str">
        <x:v>Япония</x:v>
      </x:c>
      <x:c r="B5" s="2"/>
      <x:c r="C5" s="2"/>
      <x:c r="D5" s="2"/>
      <x:c r="E5" s="2"/>
    </x:row>
    <x:row r="6" ht="36" customHeight="1">
      <x:c r="A6" s="13" t="str">
        <x:v>Месяц</x:v>
      </x:c>
      <x:c r="B6" s="13" t="str">
        <x:v>Процессоры и контроллеры</x:v>
      </x:c>
      <x:c r="C6" s="13" t="str">
        <x:v>Память</x:v>
      </x:c>
      <x:c r="D6" s="13" t="str">
        <x:v>Усилители</x:v>
      </x:c>
      <x:c r="E6" s="13" t="str">
        <x:v>Прочие интегральные схемы</x:v>
      </x:c>
    </x:row>
    <x:row r="7" ht="22" customHeight="1">
      <x:c r="A7" s="20" t="d">
        <x:v>2018-01-01T00:00:00.000Z</x:v>
      </x:c>
      <x:c r="B7" s="19" t="n">
        <x:f>200*('Месяцы_товары'!C19-'Месяцы_товары'!C7)/('Месяцы_товары'!C19+'Месяцы_товары'!C7)</x:f>
        <x:v>-1.1633696659198458</x:v>
      </x:c>
      <x:c r="C7" s="19" t="n">
        <x:f>200*('Месяцы_товары'!D19-'Месяцы_товары'!D7)/('Месяцы_товары'!D19+'Месяцы_товары'!D7)</x:f>
        <x:v>24.790955934922653</x:v>
      </x:c>
      <x:c r="D7" s="19" t="n">
        <x:f>200*('Месяцы_товары'!E19-'Месяцы_товары'!E7)/('Месяцы_товары'!E19+'Месяцы_товары'!E7)</x:f>
        <x:v>10.187541071913934</x:v>
      </x:c>
      <x:c r="E7" s="19" t="n">
        <x:f>200*('Месяцы_товары'!F19-'Месяцы_товары'!F7)/('Месяцы_товары'!F19+'Месяцы_товары'!F7)</x:f>
        <x:v>0.1336296722861292</x:v>
      </x:c>
    </x:row>
    <x:row r="8" ht="22" customHeight="1">
      <x:c r="A8" s="20" t="d">
        <x:v>2018-02-01T00:00:00.000Z</x:v>
      </x:c>
      <x:c r="B8" s="19" t="n">
        <x:f>200*('Месяцы_товары'!C20-'Месяцы_товары'!C8)/('Месяцы_товары'!C20+'Месяцы_товары'!C8)</x:f>
        <x:v>-8.230028439307613</x:v>
      </x:c>
      <x:c r="C8" s="19" t="n">
        <x:f>200*('Месяцы_товары'!D20-'Месяцы_товары'!D8)/('Месяцы_товары'!D20+'Месяцы_товары'!D8)</x:f>
        <x:v>18.648557985060823</x:v>
      </x:c>
      <x:c r="D8" s="19" t="n">
        <x:f>200*('Месяцы_товары'!E20-'Месяцы_товары'!E8)/('Месяцы_товары'!E20+'Месяцы_товары'!E8)</x:f>
        <x:v>-16.87954820833151</x:v>
      </x:c>
      <x:c r="E8" s="19" t="n">
        <x:f>200*('Месяцы_товары'!F20-'Месяцы_товары'!F8)/('Месяцы_товары'!F20+'Месяцы_товары'!F8)</x:f>
        <x:v>-18.100932485308608</x:v>
      </x:c>
    </x:row>
    <x:row r="9" ht="22" customHeight="1">
      <x:c r="A9" s="20" t="d">
        <x:v>2018-03-01T00:00:00.000Z</x:v>
      </x:c>
      <x:c r="B9" s="19" t="n">
        <x:f>200*('Месяцы_товары'!C21-'Месяцы_товары'!C9)/('Месяцы_товары'!C21+'Месяцы_товары'!C9)</x:f>
        <x:v>-6.7956998540314215</x:v>
      </x:c>
      <x:c r="C9" s="19" t="n">
        <x:f>200*('Месяцы_товары'!D21-'Месяцы_товары'!D9)/('Месяцы_товары'!D21+'Месяцы_товары'!D9)</x:f>
        <x:v>30.151382303032733</x:v>
      </x:c>
      <x:c r="D9" s="19" t="n">
        <x:f>200*('Месяцы_товары'!E21-'Месяцы_товары'!E9)/('Месяцы_товары'!E21+'Месяцы_товары'!E9)</x:f>
        <x:v>3.9999174075488906</x:v>
      </x:c>
      <x:c r="E9" s="19" t="n">
        <x:f>200*('Месяцы_товары'!F21-'Месяцы_товары'!F9)/('Месяцы_товары'!F21+'Месяцы_товары'!F9)</x:f>
        <x:v>-0.4722021620898614</x:v>
      </x:c>
    </x:row>
    <x:row r="10" ht="22" customHeight="1">
      <x:c r="A10" s="20" t="d">
        <x:v>2018-04-01T00:00:00.000Z</x:v>
      </x:c>
      <x:c r="B10" s="19" t="n">
        <x:f>200*('Месяцы_товары'!C22-'Месяцы_товары'!C10)/('Месяцы_товары'!C22+'Месяцы_товары'!C10)</x:f>
        <x:v>-11.036033598085172</x:v>
      </x:c>
      <x:c r="C10" s="19" t="n">
        <x:f>200*('Месяцы_товары'!D22-'Месяцы_товары'!D10)/('Месяцы_товары'!D22+'Месяцы_товары'!D10)</x:f>
        <x:v>28.372818210887647</x:v>
      </x:c>
      <x:c r="D10" s="19" t="n">
        <x:f>200*('Месяцы_товары'!E22-'Месяцы_товары'!E10)/('Месяцы_товары'!E22+'Месяцы_товары'!E10)</x:f>
        <x:v>-4.774444833246284</x:v>
      </x:c>
      <x:c r="E10" s="19" t="n">
        <x:f>200*('Месяцы_товары'!F22-'Месяцы_товары'!F10)/('Месяцы_товары'!F22+'Месяцы_товары'!F10)</x:f>
        <x:v>0.26720330138093434</x:v>
      </x:c>
    </x:row>
    <x:row r="11" ht="22" customHeight="1">
      <x:c r="A11" s="20" t="d">
        <x:v>2018-05-01T00:00:00.000Z</x:v>
      </x:c>
      <x:c r="B11" s="19" t="n">
        <x:f>200*('Месяцы_товары'!C23-'Месяцы_товары'!C11)/('Месяцы_товары'!C23+'Месяцы_товары'!C11)</x:f>
        <x:v>-11.10626267910418</x:v>
      </x:c>
      <x:c r="C11" s="19" t="n">
        <x:f>200*('Месяцы_товары'!D23-'Месяцы_товары'!D11)/('Месяцы_товары'!D23+'Месяцы_товары'!D11)</x:f>
        <x:v>24.182968339625884</x:v>
      </x:c>
      <x:c r="D11" s="19" t="n">
        <x:f>200*('Месяцы_товары'!E23-'Месяцы_товары'!E11)/('Месяцы_товары'!E23+'Месяцы_товары'!E11)</x:f>
        <x:v>10.502695751012292</x:v>
      </x:c>
      <x:c r="E11" s="19" t="n">
        <x:f>200*('Месяцы_товары'!F23-'Месяцы_товары'!F11)/('Месяцы_товары'!F23+'Месяцы_товары'!F11)</x:f>
        <x:v>3.3253017736371953</x:v>
      </x:c>
    </x:row>
    <x:row r="12" ht="22" customHeight="1">
      <x:c r="A12" s="20" t="d">
        <x:v>2018-06-01T00:00:00.000Z</x:v>
      </x:c>
      <x:c r="B12" s="19" t="n">
        <x:f>200*('Месяцы_товары'!C24-'Месяцы_товары'!C12)/('Месяцы_товары'!C24+'Месяцы_товары'!C12)</x:f>
        <x:v>-8.838394136497058</x:v>
      </x:c>
      <x:c r="C12" s="19" t="n">
        <x:f>200*('Месяцы_товары'!D24-'Месяцы_товары'!D12)/('Месяцы_товары'!D24+'Месяцы_товары'!D12)</x:f>
        <x:v>30.4596948434723</x:v>
      </x:c>
      <x:c r="D12" s="19" t="n">
        <x:f>200*('Месяцы_товары'!E24-'Месяцы_товары'!E12)/('Месяцы_товары'!E24+'Месяцы_товары'!E12)</x:f>
        <x:v>-2.2127512988993208</x:v>
      </x:c>
      <x:c r="E12" s="19" t="n">
        <x:f>200*('Месяцы_товары'!F24-'Месяцы_товары'!F12)/('Месяцы_товары'!F24+'Месяцы_товары'!F12)</x:f>
        <x:v>-4.848344223684818</x:v>
      </x:c>
    </x:row>
    <x:row r="13" ht="22" customHeight="1">
      <x:c r="A13" s="20" t="d">
        <x:v>2018-07-01T00:00:00.000Z</x:v>
      </x:c>
      <x:c r="B13" s="19" t="n">
        <x:f>200*('Месяцы_товары'!C25-'Месяцы_товары'!C13)/('Месяцы_товары'!C25+'Месяцы_товары'!C13)</x:f>
        <x:v>-9.042464825913106</x:v>
      </x:c>
      <x:c r="C13" s="19" t="n">
        <x:f>200*('Месяцы_товары'!D25-'Месяцы_товары'!D13)/('Месяцы_товары'!D25+'Месяцы_товары'!D13)</x:f>
        <x:v>22.915871225828145</x:v>
      </x:c>
      <x:c r="D13" s="19" t="n">
        <x:f>200*('Месяцы_товары'!E25-'Месяцы_товары'!E13)/('Месяцы_товары'!E25+'Месяцы_товары'!E13)</x:f>
        <x:v>-21.892150045054134</x:v>
      </x:c>
      <x:c r="E13" s="19" t="n">
        <x:f>200*('Месяцы_товары'!F25-'Месяцы_товары'!F13)/('Месяцы_товары'!F25+'Месяцы_товары'!F13)</x:f>
        <x:v>5.211703550868947</x:v>
      </x:c>
    </x:row>
    <x:row r="14" ht="22" customHeight="1">
      <x:c r="A14" s="20" t="d">
        <x:v>2018-08-01T00:00:00.000Z</x:v>
      </x:c>
      <x:c r="B14" s="19" t="n">
        <x:f>200*('Месяцы_товары'!C26-'Месяцы_товары'!C14)/('Месяцы_товары'!C26+'Месяцы_товары'!C14)</x:f>
        <x:v>-14.347755327767194</x:v>
      </x:c>
      <x:c r="C14" s="19" t="n">
        <x:f>200*('Месяцы_товары'!D26-'Месяцы_товары'!D14)/('Месяцы_товары'!D26+'Месяцы_товары'!D14)</x:f>
        <x:v>3.490044346689635</x:v>
      </x:c>
      <x:c r="D14" s="19" t="n">
        <x:f>200*('Месяцы_товары'!E26-'Месяцы_товары'!E14)/('Месяцы_товары'!E26+'Месяцы_товары'!E14)</x:f>
        <x:v>-7.787182941572662</x:v>
      </x:c>
      <x:c r="E14" s="19" t="n">
        <x:f>200*('Месяцы_товары'!F26-'Месяцы_товары'!F14)/('Месяцы_товары'!F26+'Месяцы_товары'!F14)</x:f>
        <x:v>8.931940546789244</x:v>
      </x:c>
    </x:row>
    <x:row r="15" ht="22" customHeight="1">
      <x:c r="A15" s="20" t="d">
        <x:v>2018-09-01T00:00:00.000Z</x:v>
      </x:c>
      <x:c r="B15" s="19" t="n">
        <x:f>200*('Месяцы_товары'!C27-'Месяцы_товары'!C15)/('Месяцы_товары'!C27+'Месяцы_товары'!C15)</x:f>
        <x:v>-24.85091806042611</x:v>
      </x:c>
      <x:c r="C15" s="19" t="n">
        <x:f>200*('Месяцы_товары'!D27-'Месяцы_товары'!D15)/('Месяцы_товары'!D27+'Месяцы_товары'!D15)</x:f>
        <x:v>-7.935027141597852</x:v>
      </x:c>
      <x:c r="D15" s="19" t="n">
        <x:f>200*('Месяцы_товары'!E27-'Месяцы_товары'!E15)/('Месяцы_товары'!E27+'Месяцы_товары'!E15)</x:f>
        <x:v>-49.57299932536231</x:v>
      </x:c>
      <x:c r="E15" s="19" t="n">
        <x:f>200*('Месяцы_товары'!F27-'Месяцы_товары'!F15)/('Месяцы_товары'!F27+'Месяцы_товары'!F15)</x:f>
        <x:v>6.149628596178216</x:v>
      </x:c>
    </x:row>
    <x:row r="16" ht="22" customHeight="1">
      <x:c r="A16" s="20" t="d">
        <x:v>2018-10-01T00:00:00.000Z</x:v>
      </x:c>
      <x:c r="B16" s="19" t="n">
        <x:f>200*('Месяцы_товары'!C28-'Месяцы_товары'!C16)/('Месяцы_товары'!C28+'Месяцы_товары'!C16)</x:f>
        <x:v>-12.120369934125481</x:v>
      </x:c>
      <x:c r="C16" s="19" t="n">
        <x:f>200*('Месяцы_товары'!D28-'Месяцы_товары'!D16)/('Месяцы_товары'!D28+'Месяцы_товары'!D16)</x:f>
        <x:v>21.12466000714916</x:v>
      </x:c>
      <x:c r="D16" s="19" t="n">
        <x:f>200*('Месяцы_товары'!E28-'Месяцы_товары'!E16)/('Месяцы_товары'!E28+'Месяцы_товары'!E16)</x:f>
        <x:v>-29.75798167288057</x:v>
      </x:c>
      <x:c r="E16" s="19" t="n">
        <x:f>200*('Месяцы_товары'!F28-'Месяцы_товары'!F16)/('Месяцы_товары'!F28+'Месяцы_товары'!F16)</x:f>
        <x:v>11.969768957643259</x:v>
      </x:c>
    </x:row>
    <x:row r="17" ht="22" customHeight="1">
      <x:c r="A17" s="20" t="d">
        <x:v>2018-11-01T00:00:00.000Z</x:v>
      </x:c>
      <x:c r="B17" s="19" t="n">
        <x:f>200*('Месяцы_товары'!C29-'Месяцы_товары'!C17)/('Месяцы_товары'!C29+'Месяцы_товары'!C17)</x:f>
        <x:v>-19.2070735022092</x:v>
      </x:c>
      <x:c r="C17" s="19" t="n">
        <x:f>200*('Месяцы_товары'!D29-'Месяцы_товары'!D17)/('Месяцы_товары'!D29+'Месяцы_товары'!D17)</x:f>
        <x:v>14.462098056828864</x:v>
      </x:c>
      <x:c r="D17" s="19" t="n">
        <x:f>200*('Месяцы_товары'!E29-'Месяцы_товары'!E17)/('Месяцы_товары'!E29+'Месяцы_товары'!E17)</x:f>
        <x:v>-40.86043285170973</x:v>
      </x:c>
      <x:c r="E17" s="19" t="n">
        <x:f>200*('Месяцы_товары'!F29-'Месяцы_товары'!F17)/('Месяцы_товары'!F29+'Месяцы_товары'!F17)</x:f>
        <x:v>-5.166732028513125</x:v>
      </x:c>
    </x:row>
    <x:row r="18" ht="22" customHeight="1">
      <x:c r="A18" s="20" t="d">
        <x:v>2018-12-01T00:00:00.000Z</x:v>
      </x:c>
      <x:c r="B18" s="19" t="n">
        <x:f>200*('Месяцы_товары'!C30-'Месяцы_товары'!C18)/('Месяцы_товары'!C30+'Месяцы_товары'!C18)</x:f>
        <x:v>-24.342839175792143</x:v>
      </x:c>
      <x:c r="C18" s="19" t="n">
        <x:f>200*('Месяцы_товары'!D30-'Месяцы_товары'!D18)/('Месяцы_товары'!D30+'Месяцы_товары'!D18)</x:f>
        <x:v>1.2329804263676083</x:v>
      </x:c>
      <x:c r="D18" s="19" t="n">
        <x:f>200*('Месяцы_товары'!E30-'Месяцы_товары'!E18)/('Месяцы_товары'!E30+'Месяцы_товары'!E18)</x:f>
        <x:v>-37.155996180856924</x:v>
      </x:c>
      <x:c r="E18" s="19" t="n">
        <x:f>200*('Месяцы_товары'!F30-'Месяцы_товары'!F18)/('Месяцы_товары'!F30+'Месяцы_товары'!F18)</x:f>
        <x:v>-16.104401449171274</x:v>
      </x:c>
    </x:row>
    <x:row r="19" ht="22" customHeight="1">
      <x:c r="A19" s="20" t="d">
        <x:v>2019-01-01T00:00:00.000Z</x:v>
      </x:c>
      <x:c r="B19" s="19" t="n">
        <x:f>200*('Месяцы_товары'!C31-'Месяцы_товары'!C19)/('Месяцы_товары'!C31+'Месяцы_товары'!C19)</x:f>
        <x:v>-16.415797784028086</x:v>
      </x:c>
      <x:c r="C19" s="19" t="n">
        <x:f>200*('Месяцы_товары'!D31-'Месяцы_товары'!D19)/('Месяцы_товары'!D31+'Месяцы_товары'!D19)</x:f>
        <x:v>-0.76702229861505</x:v>
      </x:c>
      <x:c r="D19" s="19" t="n">
        <x:f>200*('Месяцы_товары'!E31-'Месяцы_товары'!E19)/('Месяцы_товары'!E31+'Месяцы_товары'!E19)</x:f>
        <x:v>-46.02840451215999</x:v>
      </x:c>
      <x:c r="E19" s="19" t="n">
        <x:f>200*('Месяцы_товары'!F31-'Месяцы_товары'!F19)/('Месяцы_товары'!F31+'Месяцы_товары'!F19)</x:f>
        <x:v>-0.5357328990560154</x:v>
      </x:c>
    </x:row>
    <x:row r="20" ht="22" customHeight="1">
      <x:c r="A20" s="20" t="d">
        <x:v>2019-02-01T00:00:00.000Z</x:v>
      </x:c>
      <x:c r="B20" s="19" t="n">
        <x:f>200*('Месяцы_товары'!C32-'Месяцы_товары'!C20)/('Месяцы_товары'!C32+'Месяцы_товары'!C20)</x:f>
        <x:v>-22.325797405956315</x:v>
      </x:c>
      <x:c r="C20" s="19" t="n">
        <x:f>200*('Месяцы_товары'!D32-'Месяцы_товары'!D20)/('Месяцы_товары'!D32+'Месяцы_товары'!D20)</x:f>
        <x:v>-27.34864349868939</x:v>
      </x:c>
      <x:c r="D20" s="19" t="n">
        <x:f>200*('Месяцы_товары'!E32-'Месяцы_товары'!E20)/('Месяцы_товары'!E32+'Месяцы_товары'!E20)</x:f>
        <x:v>-23.386230665115587</x:v>
      </x:c>
      <x:c r="E20" s="19" t="n">
        <x:f>200*('Месяцы_товары'!F32-'Месяцы_товары'!F20)/('Месяцы_товары'!F32+'Месяцы_товары'!F20)</x:f>
        <x:v>5.01318386369432</x:v>
      </x:c>
    </x:row>
    <x:row r="21" ht="22" customHeight="1">
      <x:c r="A21" s="20" t="d">
        <x:v>2019-03-01T00:00:00.000Z</x:v>
      </x:c>
      <x:c r="B21" s="19" t="n">
        <x:f>200*('Месяцы_товары'!C33-'Месяцы_товары'!C21)/('Месяцы_товары'!C33+'Месяцы_товары'!C21)</x:f>
        <x:v>-22.36766457677003</x:v>
      </x:c>
      <x:c r="C21" s="19" t="n">
        <x:f>200*('Месяцы_товары'!D33-'Месяцы_товары'!D21)/('Месяцы_товары'!D33+'Месяцы_товары'!D21)</x:f>
        <x:v>-24.91269765652941</x:v>
      </x:c>
      <x:c r="D21" s="19" t="n">
        <x:f>200*('Месяцы_товары'!E33-'Месяцы_товары'!E21)/('Месяцы_товары'!E33+'Месяцы_товары'!E21)</x:f>
        <x:v>-39.15221424804703</x:v>
      </x:c>
      <x:c r="E21" s="19" t="n">
        <x:f>200*('Месяцы_товары'!F33-'Месяцы_товары'!F21)/('Месяцы_товары'!F33+'Месяцы_товары'!F21)</x:f>
        <x:v>6.887351085501068</x:v>
      </x:c>
    </x:row>
    <x:row r="22" ht="22" customHeight="1">
      <x:c r="A22" s="20" t="d">
        <x:v>2019-04-01T00:00:00.000Z</x:v>
      </x:c>
      <x:c r="B22" s="19" t="n">
        <x:f>200*('Месяцы_товары'!C34-'Месяцы_товары'!C22)/('Месяцы_товары'!C34+'Месяцы_товары'!C22)</x:f>
        <x:v>-15.282888322406976</x:v>
      </x:c>
      <x:c r="C22" s="19" t="n">
        <x:f>200*('Месяцы_товары'!D34-'Месяцы_товары'!D22)/('Месяцы_товары'!D34+'Месяцы_товары'!D22)</x:f>
        <x:v>-23.594584332745427</x:v>
      </x:c>
      <x:c r="D22" s="19" t="n">
        <x:f>200*('Месяцы_товары'!E34-'Месяцы_товары'!E22)/('Месяцы_товары'!E34+'Месяцы_товары'!E22)</x:f>
        <x:v>-35.55625714136533</x:v>
      </x:c>
      <x:c r="E22" s="19" t="n">
        <x:f>200*('Месяцы_товары'!F34-'Месяцы_товары'!F22)/('Месяцы_товары'!F34+'Месяцы_товары'!F22)</x:f>
        <x:v>2.044993336651754</x:v>
      </x:c>
    </x:row>
    <x:row r="23" ht="22" customHeight="1">
      <x:c r="A23" s="20" t="d">
        <x:v>2019-05-01T00:00:00.000Z</x:v>
      </x:c>
      <x:c r="B23" s="19" t="n">
        <x:f>200*('Месяцы_товары'!C35-'Месяцы_товары'!C23)/('Месяцы_товары'!C35+'Месяцы_товары'!C23)</x:f>
        <x:v>-14.62571998426221</x:v>
      </x:c>
      <x:c r="C23" s="19" t="n">
        <x:f>200*('Месяцы_товары'!D35-'Месяцы_товары'!D23)/('Месяцы_товары'!D35+'Месяцы_товары'!D23)</x:f>
        <x:v>6.739962194136789</x:v>
      </x:c>
      <x:c r="D23" s="19" t="n">
        <x:f>200*('Месяцы_товары'!E35-'Месяцы_товары'!E23)/('Месяцы_товары'!E35+'Месяцы_товары'!E23)</x:f>
        <x:v>-46.65435244556091</x:v>
      </x:c>
      <x:c r="E23" s="19" t="n">
        <x:f>200*('Месяцы_товары'!F35-'Месяцы_товары'!F23)/('Месяцы_товары'!F35+'Месяцы_товары'!F23)</x:f>
        <x:v>-0.47075548801085065</x:v>
      </x:c>
    </x:row>
    <x:row r="24" ht="22" customHeight="1">
      <x:c r="A24" s="20" t="d">
        <x:v>2019-06-01T00:00:00.000Z</x:v>
      </x:c>
      <x:c r="B24" s="19" t="n">
        <x:f>200*('Месяцы_товары'!C36-'Месяцы_товары'!C24)/('Месяцы_товары'!C36+'Месяцы_товары'!C24)</x:f>
        <x:v>-11.74194750245697</x:v>
      </x:c>
      <x:c r="C24" s="19" t="n">
        <x:f>200*('Месяцы_товары'!D36-'Месяцы_товары'!D24)/('Месяцы_товары'!D36+'Месяцы_товары'!D24)</x:f>
        <x:v>-19.38854654875391</x:v>
      </x:c>
      <x:c r="D24" s="19" t="n">
        <x:f>200*('Месяцы_товары'!E36-'Месяцы_товары'!E24)/('Месяцы_товары'!E36+'Месяцы_товары'!E24)</x:f>
        <x:v>-37.84453494432438</x:v>
      </x:c>
      <x:c r="E24" s="19" t="n">
        <x:f>200*('Месяцы_товары'!F36-'Месяцы_товары'!F24)/('Месяцы_товары'!F36+'Месяцы_товары'!F24)</x:f>
        <x:v>10.086236931980137</x:v>
      </x:c>
    </x:row>
    <x:row r="25" ht="22" customHeight="1">
      <x:c r="A25" s="20" t="d">
        <x:v>2019-07-01T00:00:00.000Z</x:v>
      </x:c>
      <x:c r="B25" s="19" t="n">
        <x:f>200*('Месяцы_товары'!C37-'Месяцы_товары'!C25)/('Месяцы_товары'!C37+'Месяцы_товары'!C25)</x:f>
        <x:v>-12.60697028489822</x:v>
      </x:c>
      <x:c r="C25" s="19" t="n">
        <x:f>200*('Месяцы_товары'!D37-'Месяцы_товары'!D25)/('Месяцы_товары'!D37+'Месяцы_товары'!D25)</x:f>
        <x:v>-15.44248744397601</x:v>
      </x:c>
      <x:c r="D25" s="19" t="n">
        <x:f>200*('Месяцы_товары'!E37-'Месяцы_товары'!E25)/('Месяцы_товары'!E37+'Месяцы_товары'!E25)</x:f>
        <x:v>-24.569703370077374</x:v>
      </x:c>
      <x:c r="E25" s="19" t="n">
        <x:f>200*('Месяцы_товары'!F37-'Месяцы_товары'!F25)/('Месяцы_товары'!F37+'Месяцы_товары'!F25)</x:f>
        <x:v>8.952741555890741</x:v>
      </x:c>
    </x:row>
    <x:row r="26" ht="22" customHeight="1">
      <x:c r="A26" s="20" t="d">
        <x:v>2019-08-01T00:00:00.000Z</x:v>
      </x:c>
      <x:c r="B26" s="19" t="n">
        <x:f>200*('Месяцы_товары'!C38-'Месяцы_товары'!C26)/('Месяцы_товары'!C38+'Месяцы_товары'!C26)</x:f>
        <x:v>-5.575354089174146</x:v>
      </x:c>
      <x:c r="C26" s="19" t="n">
        <x:f>200*('Месяцы_товары'!D38-'Месяцы_товары'!D26)/('Месяцы_товары'!D38+'Месяцы_товары'!D26)</x:f>
        <x:v>0.25395069739587817</x:v>
      </x:c>
      <x:c r="D26" s="19" t="n">
        <x:f>200*('Месяцы_товары'!E38-'Месяцы_товары'!E26)/('Месяцы_товары'!E38+'Месяцы_товары'!E26)</x:f>
        <x:v>-19.89813068026366</x:v>
      </x:c>
      <x:c r="E26" s="19" t="n">
        <x:f>200*('Месяцы_товары'!F38-'Месяцы_товары'!F26)/('Месяцы_товары'!F38+'Месяцы_товары'!F26)</x:f>
        <x:v>10.129484582571138</x:v>
      </x:c>
    </x:row>
    <x:row r="27" ht="22" customHeight="1">
      <x:c r="A27" s="20" t="d">
        <x:v>2019-09-01T00:00:00.000Z</x:v>
      </x:c>
      <x:c r="B27" s="19" t="n">
        <x:f>200*('Месяцы_товары'!C39-'Месяцы_товары'!C27)/('Месяцы_товары'!C39+'Месяцы_товары'!C27)</x:f>
        <x:v>-1.7831776272847841</x:v>
      </x:c>
      <x:c r="C27" s="19" t="n">
        <x:f>200*('Месяцы_товары'!D39-'Месяцы_товары'!D27)/('Месяцы_товары'!D39+'Месяцы_товары'!D27)</x:f>
        <x:v>27.384383070800055</x:v>
      </x:c>
      <x:c r="D27" s="19" t="n">
        <x:f>200*('Месяцы_товары'!E39-'Месяцы_товары'!E27)/('Месяцы_товары'!E39+'Месяцы_товары'!E27)</x:f>
        <x:v>-5.738507023312962</x:v>
      </x:c>
      <x:c r="E27" s="19" t="n">
        <x:f>200*('Месяцы_товары'!F39-'Месяцы_товары'!F27)/('Месяцы_товары'!F39+'Месяцы_товары'!F27)</x:f>
        <x:v>3.9874476712345075</x:v>
      </x:c>
    </x:row>
    <x:row r="28" ht="22" customHeight="1">
      <x:c r="A28" s="20" t="d">
        <x:v>2019-10-01T00:00:00.000Z</x:v>
      </x:c>
      <x:c r="B28" s="19" t="n">
        <x:f>200*('Месяцы_товары'!C40-'Месяцы_товары'!C28)/('Месяцы_товары'!C40+'Месяцы_товары'!C28)</x:f>
        <x:v>-3.0882583340199994</x:v>
      </x:c>
      <x:c r="C28" s="19" t="n">
        <x:f>200*('Месяцы_товары'!D40-'Месяцы_товары'!D28)/('Месяцы_товары'!D40+'Месяцы_товары'!D28)</x:f>
        <x:v>12.911626435092547</x:v>
      </x:c>
      <x:c r="D28" s="19" t="n">
        <x:f>200*('Месяцы_товары'!E40-'Месяцы_товары'!E28)/('Месяцы_товары'!E40+'Месяцы_товары'!E28)</x:f>
        <x:v>-8.91774392950449</x:v>
      </x:c>
      <x:c r="E28" s="19" t="n">
        <x:f>200*('Месяцы_товары'!F40-'Месяцы_товары'!F28)/('Месяцы_товары'!F40+'Месяцы_товары'!F28)</x:f>
        <x:v>5.858612118299114</x:v>
      </x:c>
    </x:row>
    <x:row r="29" ht="22" customHeight="1">
      <x:c r="A29" s="20" t="d">
        <x:v>2019-11-01T00:00:00.000Z</x:v>
      </x:c>
      <x:c r="B29" s="19" t="n">
        <x:f>200*('Месяцы_товары'!C41-'Месяцы_товары'!C29)/('Месяцы_товары'!C41+'Месяцы_товары'!C29)</x:f>
        <x:v>-0.05246948097334502</x:v>
      </x:c>
      <x:c r="C29" s="19" t="n">
        <x:f>200*('Месяцы_товары'!D41-'Месяцы_товары'!D29)/('Месяцы_товары'!D41+'Месяцы_товары'!D29)</x:f>
        <x:v>0.2192121059134864</x:v>
      </x:c>
      <x:c r="D29" s="19" t="n">
        <x:f>200*('Месяцы_товары'!E41-'Месяцы_товары'!E29)/('Месяцы_товары'!E41+'Месяцы_товары'!E29)</x:f>
        <x:v>-9.350071686592619</x:v>
      </x:c>
      <x:c r="E29" s="19" t="n">
        <x:f>200*('Месяцы_товары'!F41-'Месяцы_товары'!F29)/('Месяцы_товары'!F41+'Месяцы_товары'!F29)</x:f>
        <x:v>6.759574840441331</x:v>
      </x:c>
    </x:row>
    <x:row r="30" ht="22" customHeight="1">
      <x:c r="A30" s="20" t="d">
        <x:v>2019-12-01T00:00:00.000Z</x:v>
      </x:c>
      <x:c r="B30" s="19" t="n">
        <x:f>200*('Месяцы_товары'!C42-'Месяцы_товары'!C30)/('Месяцы_товары'!C42+'Месяцы_товары'!C30)</x:f>
        <x:v>-0.8810740414961913</x:v>
      </x:c>
      <x:c r="C30" s="19" t="n">
        <x:f>200*('Месяцы_товары'!D42-'Месяцы_товары'!D30)/('Месяцы_товары'!D42+'Месяцы_товары'!D30)</x:f>
        <x:v>-0.8967898893198133</x:v>
      </x:c>
      <x:c r="D30" s="19" t="n">
        <x:f>200*('Месяцы_товары'!E42-'Месяцы_товары'!E30)/('Месяцы_товары'!E42+'Месяцы_товары'!E30)</x:f>
        <x:v>-30.5274646629579</x:v>
      </x:c>
      <x:c r="E30" s="19" t="n">
        <x:f>200*('Месяцы_товары'!F42-'Месяцы_товары'!F30)/('Месяцы_товары'!F42+'Месяцы_товары'!F30)</x:f>
        <x:v>18.653914039703665</x:v>
      </x:c>
    </x:row>
    <x:row r="31" ht="22" customHeight="1">
      <x:c r="A31" s="20" t="d">
        <x:v>2020-01-01T00:00:00.000Z</x:v>
      </x:c>
      <x:c r="B31" s="19" t="n">
        <x:f>200*('Месяцы_товары'!C43-'Месяцы_товары'!C31)/('Месяцы_товары'!C43+'Месяцы_товары'!C31)</x:f>
        <x:v>-12.238639878968756</x:v>
      </x:c>
      <x:c r="C31" s="19" t="n">
        <x:f>200*('Месяцы_товары'!D43-'Месяцы_товары'!D31)/('Месяцы_товары'!D43+'Месяцы_товары'!D31)</x:f>
        <x:v>4.635553044570393</x:v>
      </x:c>
      <x:c r="D31" s="19" t="n">
        <x:f>200*('Месяцы_товары'!E43-'Месяцы_товары'!E31)/('Месяцы_товары'!E43+'Месяцы_товары'!E31)</x:f>
        <x:v>3.2319199331686694</x:v>
      </x:c>
      <x:c r="E31" s="19" t="n">
        <x:f>200*('Месяцы_товары'!F43-'Месяцы_товары'!F31)/('Месяцы_товары'!F43+'Месяцы_товары'!F31)</x:f>
        <x:v>7.410701004726855</x:v>
      </x:c>
    </x:row>
    <x:row r="32" ht="22" customHeight="1">
      <x:c r="A32" s="20" t="d">
        <x:v>2020-02-01T00:00:00.000Z</x:v>
      </x:c>
      <x:c r="B32" s="19" t="n">
        <x:f>200*('Месяцы_товары'!C44-'Месяцы_товары'!C32)/('Месяцы_товары'!C44+'Месяцы_товары'!C32)</x:f>
        <x:v>5.946710043204341</x:v>
      </x:c>
      <x:c r="C32" s="19" t="n">
        <x:f>200*('Месяцы_товары'!D44-'Месяцы_товары'!D32)/('Месяцы_товары'!D44+'Месяцы_товары'!D32)</x:f>
        <x:v>24.215444570712634</x:v>
      </x:c>
      <x:c r="D32" s="19" t="n">
        <x:f>200*('Месяцы_товары'!E44-'Месяцы_товары'!E32)/('Месяцы_товары'!E44+'Месяцы_товары'!E32)</x:f>
        <x:v>-17.859757165729533</x:v>
      </x:c>
      <x:c r="E32" s="19" t="n">
        <x:f>200*('Месяцы_товары'!F44-'Месяцы_товары'!F32)/('Месяцы_товары'!F44+'Месяцы_товары'!F32)</x:f>
        <x:v>20.407975859121365</x:v>
      </x:c>
    </x:row>
    <x:row r="33" ht="22" customHeight="1">
      <x:c r="A33" s="20" t="d">
        <x:v>2020-03-01T00:00:00.000Z</x:v>
      </x:c>
      <x:c r="B33" s="19" t="n">
        <x:f>200*('Месяцы_товары'!C45-'Месяцы_товары'!C33)/('Месяцы_товары'!C45+'Месяцы_товары'!C33)</x:f>
        <x:v>-8.598773234769435</x:v>
      </x:c>
      <x:c r="C33" s="19" t="n">
        <x:f>200*('Месяцы_товары'!D45-'Месяцы_товары'!D33)/('Месяцы_товары'!D45+'Месяцы_товары'!D33)</x:f>
        <x:v>28.793997305174376</x:v>
      </x:c>
      <x:c r="D33" s="19" t="n">
        <x:f>200*('Месяцы_товары'!E45-'Месяцы_товары'!E33)/('Месяцы_товары'!E45+'Месяцы_товары'!E33)</x:f>
        <x:v>-6.595000873435397</x:v>
      </x:c>
      <x:c r="E33" s="19" t="n">
        <x:f>200*('Месяцы_товары'!F45-'Месяцы_товары'!F33)/('Месяцы_товары'!F45+'Месяцы_товары'!F33)</x:f>
        <x:v>-5.270844869259677</x:v>
      </x:c>
    </x:row>
    <x:row r="34" ht="22" customHeight="1">
      <x:c r="A34" s="20" t="d">
        <x:v>2020-04-01T00:00:00.000Z</x:v>
      </x:c>
      <x:c r="B34" s="19" t="n">
        <x:f>200*('Месяцы_товары'!C46-'Месяцы_товары'!C34)/('Месяцы_товары'!C46+'Месяцы_товары'!C34)</x:f>
        <x:v>-19.584127199639518</x:v>
      </x:c>
      <x:c r="C34" s="19" t="n">
        <x:f>200*('Месяцы_товары'!D46-'Месяцы_товары'!D34)/('Месяцы_товары'!D46+'Месяцы_товары'!D34)</x:f>
        <x:v>30.94476657293879</x:v>
      </x:c>
      <x:c r="D34" s="19" t="n">
        <x:f>200*('Месяцы_товары'!E46-'Месяцы_товары'!E34)/('Месяцы_товары'!E46+'Месяцы_товары'!E34)</x:f>
        <x:v>-14.942097475128568</x:v>
      </x:c>
      <x:c r="E34" s="19" t="n">
        <x:f>200*('Месяцы_товары'!F46-'Месяцы_товары'!F34)/('Месяцы_товары'!F46+'Месяцы_товары'!F34)</x:f>
        <x:v>-9.090725406262793</x:v>
      </x:c>
    </x:row>
    <x:row r="35" ht="22" customHeight="1">
      <x:c r="A35" s="20" t="d">
        <x:v>2020-05-01T00:00:00.000Z</x:v>
      </x:c>
      <x:c r="B35" s="19" t="n">
        <x:f>200*('Месяцы_товары'!C47-'Месяцы_товары'!C35)/('Месяцы_товары'!C47+'Месяцы_товары'!C35)</x:f>
        <x:v>-24.43213150245121</x:v>
      </x:c>
      <x:c r="C35" s="19" t="n">
        <x:f>200*('Месяцы_товары'!D47-'Месяцы_товары'!D35)/('Месяцы_товары'!D47+'Месяцы_товары'!D35)</x:f>
        <x:v>9.693954493016015</x:v>
      </x:c>
      <x:c r="D35" s="19" t="n">
        <x:f>200*('Месяцы_товары'!E47-'Месяцы_товары'!E35)/('Месяцы_товары'!E47+'Месяцы_товары'!E35)</x:f>
        <x:v>13.621428468080662</x:v>
      </x:c>
      <x:c r="E35" s="19" t="n">
        <x:f>200*('Месяцы_товары'!F47-'Месяцы_товары'!F35)/('Месяцы_товары'!F47+'Месяцы_товары'!F35)</x:f>
        <x:v>-17.209355827439623</x:v>
      </x:c>
    </x:row>
    <x:row r="36" ht="22" customHeight="1">
      <x:c r="A36" s="20" t="d">
        <x:v>2020-06-01T00:00:00.000Z</x:v>
      </x:c>
      <x:c r="B36" s="19" t="n">
        <x:f>200*('Месяцы_товары'!C48-'Месяцы_товары'!C36)/('Месяцы_товары'!C48+'Месяцы_товары'!C36)</x:f>
        <x:v>-30.948533400786545</x:v>
      </x:c>
      <x:c r="C36" s="19" t="n">
        <x:f>200*('Месяцы_товары'!D48-'Месяцы_товары'!D36)/('Месяцы_товары'!D48+'Месяцы_товары'!D36)</x:f>
        <x:v>9.854144077746058</x:v>
      </x:c>
      <x:c r="D36" s="19" t="n">
        <x:f>200*('Месяцы_товары'!E48-'Месяцы_товары'!E36)/('Месяцы_товары'!E48+'Месяцы_товары'!E36)</x:f>
        <x:v>-15.622880149714726</x:v>
      </x:c>
      <x:c r="E36" s="19" t="n">
        <x:f>200*('Месяцы_товары'!F48-'Месяцы_товары'!F36)/('Месяцы_товары'!F48+'Месяцы_товары'!F36)</x:f>
        <x:v>-21.03311469963638</x:v>
      </x:c>
    </x:row>
    <x:row r="37" ht="22" customHeight="1">
      <x:c r="A37" s="20" t="d">
        <x:v>2020-07-01T00:00:00.000Z</x:v>
      </x:c>
      <x:c r="B37" s="19" t="n">
        <x:f>200*('Месяцы_товары'!C49-'Месяцы_товары'!C37)/('Месяцы_товары'!C49+'Месяцы_товары'!C37)</x:f>
        <x:v>-23.383740638056054</x:v>
      </x:c>
      <x:c r="C37" s="19" t="n">
        <x:f>200*('Месяцы_товары'!D49-'Месяцы_товары'!D37)/('Месяцы_товары'!D49+'Месяцы_товары'!D37)</x:f>
        <x:v>21.01287528417855</x:v>
      </x:c>
      <x:c r="D37" s="19" t="n">
        <x:f>200*('Месяцы_товары'!E49-'Месяцы_товары'!E37)/('Месяцы_товары'!E49+'Месяцы_товары'!E37)</x:f>
        <x:v>-6.655748852130586</x:v>
      </x:c>
      <x:c r="E37" s="19" t="n">
        <x:f>200*('Месяцы_товары'!F49-'Месяцы_товары'!F37)/('Месяцы_товары'!F49+'Месяцы_товары'!F37)</x:f>
        <x:v>-18.347449765559336</x:v>
      </x:c>
    </x:row>
    <x:row r="38" ht="22" customHeight="1">
      <x:c r="A38" s="20" t="d">
        <x:v>2020-08-01T00:00:00.000Z</x:v>
      </x:c>
      <x:c r="B38" s="19" t="n">
        <x:f>200*('Месяцы_товары'!C50-'Месяцы_товары'!C38)/('Месяцы_товары'!C50+'Месяцы_товары'!C38)</x:f>
        <x:v>-23.119918342583716</x:v>
      </x:c>
      <x:c r="C38" s="19" t="n">
        <x:f>200*('Месяцы_товары'!D50-'Месяцы_товары'!D38)/('Месяцы_товары'!D50+'Месяцы_товары'!D38)</x:f>
        <x:v>20.382019483529426</x:v>
      </x:c>
      <x:c r="D38" s="19" t="n">
        <x:f>200*('Месяцы_товары'!E50-'Месяцы_товары'!E38)/('Месяцы_товары'!E50+'Месяцы_товары'!E38)</x:f>
        <x:v>-36.82174336046706</x:v>
      </x:c>
      <x:c r="E38" s="19" t="n">
        <x:f>200*('Месяцы_товары'!F50-'Месяцы_товары'!F38)/('Месяцы_товары'!F50+'Месяцы_товары'!F38)</x:f>
        <x:v>-20.1959634557395</x:v>
      </x:c>
    </x:row>
    <x:row r="39" ht="22" customHeight="1">
      <x:c r="A39" s="20" t="d">
        <x:v>2020-09-01T00:00:00.000Z</x:v>
      </x:c>
      <x:c r="B39" s="19" t="n">
        <x:f>200*('Месяцы_товары'!C51-'Месяцы_товары'!C39)/('Месяцы_товары'!C51+'Месяцы_товары'!C39)</x:f>
        <x:v>-9.178771115218394</x:v>
      </x:c>
      <x:c r="C39" s="19" t="n">
        <x:f>200*('Месяцы_товары'!D51-'Месяцы_товары'!D39)/('Месяцы_товары'!D51+'Месяцы_товары'!D39)</x:f>
        <x:v>0.3328153151603837</x:v>
      </x:c>
      <x:c r="D39" s="19" t="n">
        <x:f>200*('Месяцы_товары'!E51-'Месяцы_товары'!E39)/('Месяцы_товары'!E51+'Месяцы_товары'!E39)</x:f>
        <x:v>-16.660466762709593</x:v>
      </x:c>
      <x:c r="E39" s="19" t="n">
        <x:f>200*('Месяцы_товары'!F51-'Месяцы_товары'!F39)/('Месяцы_товары'!F51+'Месяцы_товары'!F39)</x:f>
        <x:v>7.33449306379272</x:v>
      </x:c>
    </x:row>
    <x:row r="40" ht="22" customHeight="1">
      <x:c r="A40" s="20" t="d">
        <x:v>2020-10-01T00:00:00.000Z</x:v>
      </x:c>
      <x:c r="B40" s="19" t="n">
        <x:f>200*('Месяцы_товары'!C52-'Месяцы_товары'!C40)/('Месяцы_товары'!C52+'Месяцы_товары'!C40)</x:f>
        <x:v>-3.669085536986156</x:v>
      </x:c>
      <x:c r="C40" s="19" t="n">
        <x:f>200*('Месяцы_товары'!D52-'Месяцы_товары'!D40)/('Месяцы_товары'!D52+'Месяцы_товары'!D40)</x:f>
        <x:v>-9.699602224185895</x:v>
      </x:c>
      <x:c r="D40" s="19" t="n">
        <x:f>200*('Месяцы_товары'!E52-'Месяцы_товары'!E40)/('Месяцы_товары'!E52+'Месяцы_товары'!E40)</x:f>
        <x:v>-8.641656339700601</x:v>
      </x:c>
      <x:c r="E40" s="19" t="n">
        <x:f>200*('Месяцы_товары'!F52-'Месяцы_товары'!F40)/('Месяцы_товары'!F52+'Месяцы_товары'!F40)</x:f>
        <x:v>-1.5970945104876486</x:v>
      </x:c>
    </x:row>
    <x:row r="41" ht="22" customHeight="1">
      <x:c r="A41" s="20" t="d">
        <x:v>2020-11-01T00:00:00.000Z</x:v>
      </x:c>
      <x:c r="B41" s="19" t="n">
        <x:f>200*('Месяцы_товары'!C53-'Месяцы_товары'!C41)/('Месяцы_товары'!C53+'Месяцы_товары'!C41)</x:f>
        <x:v>-8.579228138047931</x:v>
      </x:c>
      <x:c r="C41" s="19" t="n">
        <x:f>200*('Месяцы_товары'!D53-'Месяцы_товары'!D41)/('Месяцы_товары'!D53+'Месяцы_товары'!D41)</x:f>
        <x:v>-7.651694144255713</x:v>
      </x:c>
      <x:c r="D41" s="19" t="n">
        <x:f>200*('Месяцы_товары'!E53-'Месяцы_товары'!E41)/('Месяцы_товары'!E53+'Месяцы_товары'!E41)</x:f>
        <x:v>-8.610705362606566</x:v>
      </x:c>
      <x:c r="E41" s="19" t="n">
        <x:f>200*('Месяцы_товары'!F53-'Месяцы_товары'!F41)/('Месяцы_товары'!F53+'Месяцы_товары'!F41)</x:f>
        <x:v>4.237049827026594</x:v>
      </x:c>
    </x:row>
    <x:row r="42" ht="22" customHeight="1">
      <x:c r="A42" s="20" t="d">
        <x:v>2020-12-01T00:00:00.000Z</x:v>
      </x:c>
      <x:c r="B42" s="19" t="n">
        <x:f>200*('Месяцы_товары'!C54-'Месяцы_товары'!C42)/('Месяцы_товары'!C54+'Месяцы_товары'!C42)</x:f>
        <x:v>4.908425262846906</x:v>
      </x:c>
      <x:c r="C42" s="19" t="n">
        <x:f>200*('Месяцы_товары'!D54-'Месяцы_товары'!D42)/('Месяцы_товары'!D54+'Месяцы_товары'!D42)</x:f>
        <x:v>-3.565097522269756</x:v>
      </x:c>
      <x:c r="D42" s="19" t="n">
        <x:f>200*('Месяцы_товары'!E54-'Месяцы_товары'!E42)/('Месяцы_товары'!E54+'Месяцы_товары'!E42)</x:f>
        <x:v>21.81799160541156</x:v>
      </x:c>
      <x:c r="E42" s="19" t="n">
        <x:f>200*('Месяцы_товары'!F54-'Месяцы_товары'!F42)/('Месяцы_товары'!F54+'Месяцы_товары'!F42)</x:f>
        <x:v>15.104309271015005</x:v>
      </x:c>
    </x:row>
    <x:row r="43" ht="22" customHeight="1">
      <x:c r="A43" s="20" t="d">
        <x:v>2021-01-01T00:00:00.000Z</x:v>
      </x:c>
      <x:c r="B43" s="19" t="n">
        <x:f>200*('Месяцы_товары'!C55-'Месяцы_товары'!C43)/('Месяцы_товары'!C55+'Месяцы_товары'!C43)</x:f>
        <x:v>17.37544821971389</x:v>
      </x:c>
      <x:c r="C43" s="19" t="n">
        <x:f>200*('Месяцы_товары'!D55-'Месяцы_товары'!D43)/('Месяцы_товары'!D55+'Месяцы_товары'!D43)</x:f>
        <x:v>20.678825436900752</x:v>
      </x:c>
      <x:c r="D43" s="19" t="n">
        <x:f>200*('Месяцы_товары'!E55-'Месяцы_товары'!E43)/('Месяцы_товары'!E55+'Месяцы_товары'!E43)</x:f>
        <x:v>-2.174837716083296</x:v>
      </x:c>
      <x:c r="E43" s="19" t="n">
        <x:f>200*('Месяцы_товары'!F55-'Месяцы_товары'!F43)/('Месяцы_товары'!F55+'Месяцы_товары'!F43)</x:f>
        <x:v>11.4143352335522</x:v>
      </x:c>
    </x:row>
    <x:row r="44" ht="22" customHeight="1">
      <x:c r="A44" s="20" t="d">
        <x:v>2021-02-01T00:00:00.000Z</x:v>
      </x:c>
      <x:c r="B44" s="19" t="n">
        <x:f>200*('Месяцы_товары'!C56-'Месяцы_товары'!C44)/('Месяцы_товары'!C56+'Месяцы_товары'!C44)</x:f>
        <x:v>0.9018752558973521</x:v>
      </x:c>
      <x:c r="C44" s="19" t="n">
        <x:f>200*('Месяцы_товары'!D56-'Месяцы_товары'!D44)/('Месяцы_товары'!D56+'Месяцы_товары'!D44)</x:f>
        <x:v>16.69656787862701</x:v>
      </x:c>
      <x:c r="D44" s="19" t="n">
        <x:f>200*('Месяцы_товары'!E56-'Месяцы_товары'!E44)/('Месяцы_товары'!E56+'Месяцы_товары'!E44)</x:f>
        <x:v>6.115313675706677</x:v>
      </x:c>
      <x:c r="E44" s="19" t="n">
        <x:f>200*('Месяцы_товары'!F56-'Месяцы_товары'!F44)/('Месяцы_товары'!F56+'Месяцы_товары'!F44)</x:f>
        <x:v>-4.34577313966304</x:v>
      </x:c>
    </x:row>
    <x:row r="45" ht="22" customHeight="1">
      <x:c r="A45" s="20" t="d">
        <x:v>2021-03-01T00:00:00.000Z</x:v>
      </x:c>
      <x:c r="B45" s="19" t="n">
        <x:f>200*('Месяцы_товары'!C57-'Месяцы_товары'!C45)/('Месяцы_товары'!C57+'Месяцы_товары'!C45)</x:f>
        <x:v>15.871019053548236</x:v>
      </x:c>
      <x:c r="C45" s="19" t="n">
        <x:f>200*('Месяцы_товары'!D57-'Месяцы_товары'!D45)/('Месяцы_товары'!D57+'Месяцы_товары'!D45)</x:f>
        <x:v>6.856332825624143</x:v>
      </x:c>
      <x:c r="D45" s="19" t="n">
        <x:f>200*('Месяцы_товары'!E57-'Месяцы_товары'!E45)/('Месяцы_товары'!E57+'Месяцы_товары'!E45)</x:f>
        <x:v>5.529623226637338</x:v>
      </x:c>
      <x:c r="E45" s="19" t="n">
        <x:f>200*('Месяцы_товары'!F57-'Месяцы_товары'!F45)/('Месяцы_товары'!F57+'Месяцы_товары'!F45)</x:f>
        <x:v>8.25953715897432</x:v>
      </x:c>
    </x:row>
    <x:row r="46" ht="22" customHeight="1">
      <x:c r="A46" s="20" t="d">
        <x:v>2021-04-01T00:00:00.000Z</x:v>
      </x:c>
      <x:c r="B46" s="19" t="n">
        <x:f>200*('Месяцы_товары'!C58-'Месяцы_товары'!C46)/('Месяцы_товары'!C58+'Месяцы_товары'!C46)</x:f>
        <x:v>25.434875322655515</x:v>
      </x:c>
      <x:c r="C46" s="19" t="n">
        <x:f>200*('Месяцы_товары'!D58-'Месяцы_товары'!D46)/('Месяцы_товары'!D58+'Месяцы_товары'!D46)</x:f>
        <x:v>2.686385470170123</x:v>
      </x:c>
      <x:c r="D46" s="19" t="n">
        <x:f>200*('Месяцы_товары'!E58-'Месяцы_товары'!E46)/('Месяцы_товары'!E58+'Месяцы_товары'!E46)</x:f>
        <x:v>20.096143685464142</x:v>
      </x:c>
      <x:c r="E46" s="19" t="n">
        <x:f>200*('Месяцы_товары'!F58-'Месяцы_товары'!F46)/('Месяцы_товары'!F58+'Месяцы_товары'!F46)</x:f>
        <x:v>18.028004995301337</x:v>
      </x:c>
    </x:row>
    <x:row r="47" ht="22" customHeight="1">
      <x:c r="A47" s="20" t="d">
        <x:v>2021-05-01T00:00:00.000Z</x:v>
      </x:c>
      <x:c r="B47" s="19" t="n">
        <x:f>200*('Месяцы_товары'!C59-'Месяцы_товары'!C47)/('Месяцы_товары'!C59+'Месяцы_товары'!C47)</x:f>
        <x:v>28.617668641562638</x:v>
      </x:c>
      <x:c r="C47" s="19" t="n">
        <x:f>200*('Месяцы_товары'!D59-'Месяцы_товары'!D47)/('Месяцы_товары'!D59+'Месяцы_товары'!D47)</x:f>
        <x:v>14.238757916088177</x:v>
      </x:c>
      <x:c r="D47" s="19" t="n">
        <x:f>200*('Месяцы_товары'!E59-'Месяцы_товары'!E47)/('Месяцы_товары'!E59+'Месяцы_товары'!E47)</x:f>
        <x:v>-5.455681549267203</x:v>
      </x:c>
      <x:c r="E47" s="19" t="n">
        <x:f>200*('Месяцы_товары'!F59-'Месяцы_товары'!F47)/('Месяцы_товары'!F59+'Месяцы_товары'!F47)</x:f>
        <x:v>7.716727158589609</x:v>
      </x:c>
    </x:row>
    <x:row r="48" ht="22" customHeight="1">
      <x:c r="A48" s="20" t="d">
        <x:v>2021-06-01T00:00:00.000Z</x:v>
      </x:c>
      <x:c r="B48" s="19" t="n">
        <x:f>200*('Месяцы_товары'!C60-'Месяцы_товары'!C48)/('Месяцы_товары'!C60+'Месяцы_товары'!C48)</x:f>
        <x:v>30.387190156787593</x:v>
      </x:c>
      <x:c r="C48" s="19" t="n">
        <x:f>200*('Месяцы_товары'!D60-'Месяцы_товары'!D48)/('Месяцы_товары'!D60+'Месяцы_товары'!D48)</x:f>
        <x:v>22.391847498084612</x:v>
      </x:c>
      <x:c r="D48" s="19" t="n">
        <x:f>200*('Месяцы_товары'!E60-'Месяцы_товары'!E48)/('Месяцы_товары'!E60+'Месяцы_товары'!E48)</x:f>
        <x:v>16.864404623344544</x:v>
      </x:c>
      <x:c r="E48" s="19" t="n">
        <x:f>200*('Месяцы_товары'!F60-'Месяцы_товары'!F48)/('Месяцы_товары'!F60+'Месяцы_товары'!F48)</x:f>
        <x:v>7.213410532781147</x:v>
      </x:c>
    </x:row>
    <x:row r="49" ht="22" customHeight="1">
      <x:c r="A49" s="20" t="d">
        <x:v>2021-07-01T00:00:00.000Z</x:v>
      </x:c>
      <x:c r="B49" s="19" t="n">
        <x:f>200*('Месяцы_товары'!C61-'Месяцы_товары'!C49)/('Месяцы_товары'!C61+'Месяцы_товары'!C49)</x:f>
        <x:v>31.61456578570564</x:v>
      </x:c>
      <x:c r="C49" s="19" t="n">
        <x:f>200*('Месяцы_товары'!D61-'Месяцы_товары'!D49)/('Месяцы_товары'!D61+'Месяцы_товары'!D49)</x:f>
        <x:v>17.001454139696726</x:v>
      </x:c>
      <x:c r="D49" s="19" t="n">
        <x:f>200*('Месяцы_товары'!E61-'Месяцы_товары'!E49)/('Месяцы_товары'!E61+'Месяцы_товары'!E49)</x:f>
        <x:v>-3.927974930490877</x:v>
      </x:c>
      <x:c r="E49" s="19" t="n">
        <x:f>200*('Месяцы_товары'!F61-'Месяцы_товары'!F49)/('Месяцы_товары'!F61+'Месяцы_товары'!F49)</x:f>
        <x:v>17.78027535207833</x:v>
      </x:c>
    </x:row>
    <x:row r="50" ht="22" customHeight="1">
      <x:c r="A50" s="20" t="d">
        <x:v>2021-08-01T00:00:00.000Z</x:v>
      </x:c>
      <x:c r="B50" s="19" t="n">
        <x:f>200*('Месяцы_товары'!C62-'Месяцы_товары'!C50)/('Месяцы_товары'!C62+'Месяцы_товары'!C50)</x:f>
        <x:v>24.416187897338848</x:v>
      </x:c>
      <x:c r="C50" s="19" t="n">
        <x:f>200*('Месяцы_товары'!D62-'Месяцы_товары'!D50)/('Месяцы_товары'!D62+'Месяцы_товары'!D50)</x:f>
        <x:v>9.188844824764537</x:v>
      </x:c>
      <x:c r="D50" s="19" t="n">
        <x:f>200*('Месяцы_товары'!E62-'Месяцы_товары'!E50)/('Месяцы_товары'!E62+'Месяцы_товары'!E50)</x:f>
        <x:v>-5.135584227944875</x:v>
      </x:c>
      <x:c r="E50" s="19" t="n">
        <x:f>200*('Месяцы_товары'!F62-'Месяцы_товары'!F50)/('Месяцы_товары'!F62+'Месяцы_товары'!F50)</x:f>
        <x:v>3.6193839432545505</x:v>
      </x:c>
    </x:row>
    <x:row r="51" ht="22" customHeight="1">
      <x:c r="A51" s="20" t="d">
        <x:v>2021-09-01T00:00:00.000Z</x:v>
      </x:c>
      <x:c r="B51" s="19" t="n">
        <x:f>200*('Месяцы_товары'!C63-'Месяцы_товары'!C51)/('Месяцы_товары'!C63+'Месяцы_товары'!C51)</x:f>
        <x:v>22.942494263640267</x:v>
      </x:c>
      <x:c r="C51" s="19" t="n">
        <x:f>200*('Месяцы_товары'!D63-'Месяцы_товары'!D51)/('Месяцы_товары'!D63+'Месяцы_товары'!D51)</x:f>
        <x:v>21.77452672467414</x:v>
      </x:c>
      <x:c r="D51" s="19" t="n">
        <x:f>200*('Месяцы_товары'!E63-'Месяцы_товары'!E51)/('Месяцы_товары'!E63+'Месяцы_товары'!E51)</x:f>
        <x:v>-13.690014776553902</x:v>
      </x:c>
      <x:c r="E51" s="19" t="n">
        <x:f>200*('Месяцы_товары'!F63-'Месяцы_товары'!F51)/('Месяцы_товары'!F63+'Месяцы_товары'!F51)</x:f>
        <x:v>-0.35123621760255896</x:v>
      </x:c>
    </x:row>
    <x:row r="52" ht="22" customHeight="1">
      <x:c r="A52" s="20" t="d">
        <x:v>2021-10-01T00:00:00.000Z</x:v>
      </x:c>
      <x:c r="B52" s="19" t="n">
        <x:f>200*('Месяцы_товары'!C64-'Месяцы_товары'!C52)/('Месяцы_товары'!C64+'Месяцы_товары'!C52)</x:f>
        <x:v>6.9524487842144485</x:v>
      </x:c>
      <x:c r="C52" s="19" t="n">
        <x:f>200*('Месяцы_товары'!D64-'Месяцы_товары'!D52)/('Месяцы_товары'!D64+'Месяцы_товары'!D52)</x:f>
        <x:v>24.20106358861924</x:v>
      </x:c>
      <x:c r="D52" s="19" t="n">
        <x:f>200*('Месяцы_товары'!E64-'Месяцы_товары'!E52)/('Месяцы_товары'!E64+'Месяцы_товары'!E52)</x:f>
        <x:v>-18.18794105071868</x:v>
      </x:c>
      <x:c r="E52" s="19" t="n">
        <x:f>200*('Месяцы_товары'!F64-'Месяцы_товары'!F52)/('Месяцы_товары'!F64+'Месяцы_товары'!F52)</x:f>
        <x:v>1.2160163188310522</x:v>
      </x:c>
    </x:row>
    <x:row r="53" ht="22" customHeight="1">
      <x:c r="A53" s="20" t="d">
        <x:v>2021-11-01T00:00:00.000Z</x:v>
      </x:c>
      <x:c r="B53" s="19" t="n">
        <x:f>200*('Месяцы_товары'!C65-'Месяцы_товары'!C53)/('Месяцы_товары'!C65+'Месяцы_товары'!C53)</x:f>
        <x:v>14.259976148909875</x:v>
      </x:c>
      <x:c r="C53" s="19" t="n">
        <x:f>200*('Месяцы_товары'!D65-'Месяцы_товары'!D53)/('Месяцы_товары'!D65+'Месяцы_товары'!D53)</x:f>
        <x:v>24.081458239778446</x:v>
      </x:c>
      <x:c r="D53" s="19" t="n">
        <x:f>200*('Месяцы_товары'!E65-'Месяцы_товары'!E53)/('Месяцы_товары'!E65+'Месяцы_товары'!E53)</x:f>
        <x:v>-13.417829165745092</x:v>
      </x:c>
      <x:c r="E53" s="19" t="n">
        <x:f>200*('Месяцы_товары'!F65-'Месяцы_товары'!F53)/('Месяцы_товары'!F65+'Месяцы_товары'!F53)</x:f>
        <x:v>13.31967779670993</x:v>
      </x:c>
    </x:row>
    <x:row r="54" ht="22" customHeight="1">
      <x:c r="A54" s="20" t="d">
        <x:v>2021-12-01T00:00:00.000Z</x:v>
      </x:c>
      <x:c r="B54" s="19" t="n">
        <x:f>200*('Месяцы_товары'!C66-'Месяцы_товары'!C54)/('Месяцы_товары'!C66+'Месяцы_товары'!C54)</x:f>
        <x:v>10.658667660203767</x:v>
      </x:c>
      <x:c r="C54" s="19" t="n">
        <x:f>200*('Месяцы_товары'!D66-'Месяцы_товары'!D54)/('Месяцы_товары'!D66+'Месяцы_товары'!D54)</x:f>
        <x:v>35.00444865791895</x:v>
      </x:c>
      <x:c r="D54" s="19" t="n">
        <x:f>200*('Месяцы_товары'!E66-'Месяцы_товары'!E54)/('Месяцы_товары'!E66+'Месяцы_товары'!E54)</x:f>
        <x:v>-27.620288405233484</x:v>
      </x:c>
      <x:c r="E54" s="19" t="n">
        <x:f>200*('Месяцы_товары'!F66-'Месяцы_товары'!F54)/('Месяцы_товары'!F66+'Месяцы_товары'!F54)</x:f>
        <x:v>12.9733274483224</x:v>
      </x:c>
    </x:row>
    <x:row r="55" ht="22" customHeight="1">
      <x:c r="A55" s="20" t="d">
        <x:v>2022-01-01T00:00:00.000Z</x:v>
      </x:c>
      <x:c r="B55" s="19" t="n">
        <x:f>200*('Месяцы_товары'!C67-'Месяцы_товары'!C55)/('Месяцы_товары'!C67+'Месяцы_товары'!C55)</x:f>
        <x:v>9.969969129903399</x:v>
      </x:c>
      <x:c r="C55" s="19" t="n">
        <x:f>200*('Месяцы_товары'!D67-'Месяцы_товары'!D55)/('Месяцы_товары'!D67+'Месяцы_товары'!D55)</x:f>
        <x:v>9.629204586677092</x:v>
      </x:c>
      <x:c r="D55" s="19" t="n">
        <x:f>200*('Месяцы_товары'!E67-'Месяцы_товары'!E55)/('Месяцы_товары'!E67+'Месяцы_товары'!E55)</x:f>
        <x:v>-1.181192955334265</x:v>
      </x:c>
      <x:c r="E55" s="19" t="n">
        <x:f>200*('Месяцы_товары'!F67-'Месяцы_товары'!F55)/('Месяцы_товары'!F67+'Месяцы_товары'!F55)</x:f>
        <x:v>-5.2847370763023545</x:v>
      </x:c>
    </x:row>
    <x:row r="56" ht="22" customHeight="1">
      <x:c r="A56" s="20" t="d">
        <x:v>2022-02-01T00:00:00.000Z</x:v>
      </x:c>
      <x:c r="B56" s="19" t="n">
        <x:f>200*('Месяцы_товары'!C68-'Месяцы_товары'!C56)/('Месяцы_товары'!C68+'Месяцы_товары'!C56)</x:f>
        <x:v>19.294360055038055</x:v>
      </x:c>
      <x:c r="C56" s="19" t="n">
        <x:f>200*('Месяцы_товары'!D68-'Месяцы_товары'!D56)/('Месяцы_товары'!D68+'Месяцы_товары'!D56)</x:f>
        <x:v>10.891029376856045</x:v>
      </x:c>
      <x:c r="D56" s="19" t="n">
        <x:f>200*('Месяцы_товары'!E68-'Месяцы_товары'!E56)/('Месяцы_товары'!E68+'Месяцы_товары'!E56)</x:f>
        <x:v>-0.5088240681127304</x:v>
      </x:c>
      <x:c r="E56" s="19" t="n">
        <x:f>200*('Месяцы_товары'!F68-'Месяцы_товары'!F56)/('Месяцы_товары'!F68+'Месяцы_товары'!F56)</x:f>
        <x:v>11.549059465795636</x:v>
      </x:c>
    </x:row>
    <x:row r="57" ht="22" customHeight="1">
      <x:c r="A57" s="20" t="d">
        <x:v>2022-03-01T00:00:00.000Z</x:v>
      </x:c>
      <x:c r="B57" s="19" t="n">
        <x:f>200*('Месяцы_товары'!C69-'Месяцы_товары'!C57)/('Месяцы_товары'!C69+'Месяцы_товары'!C57)</x:f>
        <x:v>10.100477323698922</x:v>
      </x:c>
      <x:c r="C57" s="19" t="n">
        <x:f>200*('Месяцы_товары'!D69-'Месяцы_товары'!D57)/('Месяцы_товары'!D69+'Месяцы_товары'!D57)</x:f>
        <x:v>-6.898874536526547</x:v>
      </x:c>
      <x:c r="D57" s="19" t="n">
        <x:f>200*('Месяцы_товары'!E69-'Месяцы_товары'!E57)/('Месяцы_товары'!E69+'Месяцы_товары'!E57)</x:f>
        <x:v>-8.792864278077383</x:v>
      </x:c>
      <x:c r="E57" s="19" t="n">
        <x:f>200*('Месяцы_товары'!F69-'Месяцы_товары'!F57)/('Месяцы_товары'!F69+'Месяцы_товары'!F57)</x:f>
        <x:v>20.02904376449778</x:v>
      </x:c>
    </x:row>
    <x:row r="58" ht="22" customHeight="1">
      <x:c r="A58" s="20" t="d">
        <x:v>2022-04-01T00:00:00.000Z</x:v>
      </x:c>
      <x:c r="B58" s="19" t="n">
        <x:f>200*('Месяцы_товары'!C70-'Месяцы_товары'!C58)/('Месяцы_товары'!C70+'Месяцы_товары'!C58)</x:f>
        <x:v>4.292136299336212</x:v>
      </x:c>
      <x:c r="C58" s="19" t="n">
        <x:f>200*('Месяцы_товары'!D70-'Месяцы_товары'!D58)/('Месяцы_товары'!D70+'Месяцы_товары'!D58)</x:f>
        <x:v>-5.339752855519716</x:v>
      </x:c>
      <x:c r="D58" s="19" t="n">
        <x:f>200*('Месяцы_товары'!E70-'Месяцы_товары'!E58)/('Месяцы_товары'!E70+'Месяцы_товары'!E58)</x:f>
        <x:v>-21.3922997845363</x:v>
      </x:c>
      <x:c r="E58" s="19" t="n">
        <x:f>200*('Месяцы_товары'!F70-'Месяцы_товары'!F58)/('Месяцы_товары'!F70+'Месяцы_товары'!F58)</x:f>
        <x:v>-9.936129555980559</x:v>
      </x:c>
    </x:row>
    <x:row r="59" ht="22" customHeight="1">
      <x:c r="A59" s="20" t="d">
        <x:v>2022-05-01T00:00:00.000Z</x:v>
      </x:c>
      <x:c r="B59" s="19" t="n">
        <x:f>200*('Месяцы_товары'!C71-'Месяцы_товары'!C59)/('Месяцы_товары'!C71+'Месяцы_товары'!C59)</x:f>
        <x:v>13.14854791899419</x:v>
      </x:c>
      <x:c r="C59" s="19" t="n">
        <x:f>200*('Месяцы_товары'!D71-'Месяцы_товары'!D59)/('Месяцы_товары'!D71+'Месяцы_товары'!D59)</x:f>
        <x:v>1.1950907199704144</x:v>
      </x:c>
      <x:c r="D59" s="19" t="n">
        <x:f>200*('Месяцы_товары'!E71-'Месяцы_товары'!E59)/('Месяцы_товары'!E71+'Месяцы_товары'!E59)</x:f>
        <x:v>-13.92508249482472</x:v>
      </x:c>
      <x:c r="E59" s="19" t="n">
        <x:f>200*('Месяцы_товары'!F71-'Месяцы_товары'!F59)/('Месяцы_товары'!F71+'Месяцы_товары'!F59)</x:f>
        <x:v>12.087612744586767</x:v>
      </x:c>
    </x:row>
    <x:row r="60" ht="22" customHeight="1">
      <x:c r="A60" s="20" t="d">
        <x:v>2022-06-01T00:00:00.000Z</x:v>
      </x:c>
      <x:c r="B60" s="19" t="n">
        <x:f>200*('Месяцы_товары'!C72-'Месяцы_товары'!C60)/('Месяцы_товары'!C72+'Месяцы_товары'!C60)</x:f>
        <x:v>13.732051643979442</x:v>
      </x:c>
      <x:c r="C60" s="19" t="n">
        <x:f>200*('Месяцы_товары'!D72-'Месяцы_товары'!D60)/('Месяцы_товары'!D72+'Месяцы_товары'!D60)</x:f>
        <x:v>15.899337676123634</x:v>
      </x:c>
      <x:c r="D60" s="19" t="n">
        <x:f>200*('Месяцы_товары'!E72-'Месяцы_товары'!E60)/('Месяцы_товары'!E72+'Месяцы_товары'!E60)</x:f>
        <x:v>-13.301501096034638</x:v>
      </x:c>
      <x:c r="E60" s="19" t="n">
        <x:f>200*('Месяцы_товары'!F72-'Месяцы_товары'!F60)/('Месяцы_товары'!F72+'Месяцы_товары'!F60)</x:f>
        <x:v>14.75479019315921</x:v>
      </x:c>
    </x:row>
    <x:row r="61" ht="22" customHeight="1">
      <x:c r="A61" s="20" t="d">
        <x:v>2022-07-01T00:00:00.000Z</x:v>
      </x:c>
      <x:c r="B61" s="19" t="n">
        <x:f>200*('Месяцы_товары'!C73-'Месяцы_товары'!C61)/('Месяцы_товары'!C73+'Месяцы_товары'!C61)</x:f>
        <x:v>7.394127253629099</x:v>
      </x:c>
      <x:c r="C61" s="19" t="n">
        <x:f>200*('Месяцы_товары'!D73-'Месяцы_товары'!D61)/('Месяцы_товары'!D73+'Месяцы_товары'!D61)</x:f>
        <x:v>-5.92424669993677</x:v>
      </x:c>
      <x:c r="D61" s="19" t="n">
        <x:f>200*('Месяцы_товары'!E73-'Месяцы_товары'!E61)/('Месяцы_товары'!E73+'Месяцы_товары'!E61)</x:f>
        <x:v>-28.850299415751884</x:v>
      </x:c>
      <x:c r="E61" s="19" t="n">
        <x:f>200*('Месяцы_товары'!F73-'Месяцы_товары'!F61)/('Месяцы_товары'!F73+'Месяцы_товары'!F61)</x:f>
        <x:v>6.948765590250707</x:v>
      </x:c>
    </x:row>
    <x:row r="62" ht="22" customHeight="1">
      <x:c r="A62" s="20" t="d">
        <x:v>2022-08-01T00:00:00.000Z</x:v>
      </x:c>
      <x:c r="B62" s="19" t="n">
        <x:f>200*('Месяцы_товары'!C74-'Месяцы_товары'!C62)/('Месяцы_товары'!C74+'Месяцы_товары'!C62)</x:f>
        <x:v>0.5191517320565807</x:v>
      </x:c>
      <x:c r="C62" s="19" t="n">
        <x:f>200*('Месяцы_товары'!D74-'Месяцы_товары'!D62)/('Месяцы_товары'!D74+'Месяцы_товары'!D62)</x:f>
        <x:v>-42.22125502401509</x:v>
      </x:c>
      <x:c r="D62" s="19" t="n">
        <x:f>200*('Месяцы_товары'!E74-'Месяцы_товары'!E62)/('Месяцы_товары'!E74+'Месяцы_товары'!E62)</x:f>
        <x:v>-7.405533033797119</x:v>
      </x:c>
      <x:c r="E62" s="19" t="n">
        <x:f>200*('Месяцы_товары'!F74-'Месяцы_товары'!F62)/('Месяцы_товары'!F74+'Месяцы_товары'!F62)</x:f>
        <x:v>14.321805913724493</x:v>
      </x:c>
    </x:row>
    <x:row r="63" ht="22" customHeight="1">
      <x:c r="A63" s="20" t="d">
        <x:v>2022-09-01T00:00:00.000Z</x:v>
      </x:c>
      <x:c r="B63" s="19" t="n">
        <x:f>200*('Месяцы_товары'!C75-'Месяцы_товары'!C63)/('Месяцы_товары'!C75+'Месяцы_товары'!C63)</x:f>
        <x:v>-1.8298968834488833</x:v>
      </x:c>
      <x:c r="C63" s="19" t="n">
        <x:f>200*('Месяцы_товары'!D75-'Месяцы_товары'!D63)/('Месяцы_товары'!D75+'Месяцы_товары'!D63)</x:f>
        <x:v>-13.501896100683613</x:v>
      </x:c>
      <x:c r="D63" s="19" t="n">
        <x:f>200*('Месяцы_товары'!E75-'Месяцы_товары'!E63)/('Месяцы_товары'!E75+'Месяцы_товары'!E63)</x:f>
        <x:v>-3.0719628944717687</x:v>
      </x:c>
      <x:c r="E63" s="19" t="n">
        <x:f>200*('Месяцы_товары'!F75-'Месяцы_товары'!F63)/('Месяцы_товары'!F75+'Месяцы_товары'!F63)</x:f>
        <x:v>10.388665412524928</x:v>
      </x:c>
    </x:row>
    <x:row r="64" ht="22" customHeight="1">
      <x:c r="A64" s="20" t="d">
        <x:v>2022-10-01T00:00:00.000Z</x:v>
      </x:c>
      <x:c r="B64" s="19" t="n">
        <x:f>200*('Месяцы_товары'!C76-'Месяцы_товары'!C64)/('Месяцы_товары'!C76+'Месяцы_товары'!C64)</x:f>
        <x:v>-0.29155883563777235</x:v>
      </x:c>
      <x:c r="C64" s="19" t="n">
        <x:f>200*('Месяцы_товары'!D76-'Месяцы_товары'!D64)/('Месяцы_товары'!D76+'Месяцы_товары'!D64)</x:f>
        <x:v>-24.350744042704306</x:v>
      </x:c>
      <x:c r="D64" s="19" t="n">
        <x:f>200*('Месяцы_товары'!E76-'Месяцы_товары'!E64)/('Месяцы_товары'!E76+'Месяцы_товары'!E64)</x:f>
        <x:v>-16.423318198365582</x:v>
      </x:c>
      <x:c r="E64" s="19" t="n">
        <x:f>200*('Месяцы_товары'!F76-'Месяцы_товары'!F64)/('Месяцы_товары'!F76+'Месяцы_товары'!F64)</x:f>
        <x:v>14.213735669746516</x:v>
      </x:c>
    </x:row>
    <x:row r="65" ht="22" customHeight="1">
      <x:c r="A65" s="20" t="d">
        <x:v>2022-11-01T00:00:00.000Z</x:v>
      </x:c>
      <x:c r="B65" s="19" t="n">
        <x:f>200*('Месяцы_товары'!C77-'Месяцы_товары'!C65)/('Месяцы_товары'!C77+'Месяцы_товары'!C65)</x:f>
        <x:v>-1.0036426406438947</x:v>
      </x:c>
      <x:c r="C65" s="19" t="n">
        <x:f>200*('Месяцы_товары'!D77-'Месяцы_товары'!D65)/('Месяцы_товары'!D77+'Месяцы_товары'!D65)</x:f>
        <x:v>-24.709867512604202</x:v>
      </x:c>
      <x:c r="D65" s="19" t="n">
        <x:f>200*('Месяцы_товары'!E77-'Месяцы_товары'!E65)/('Месяцы_товары'!E77+'Месяцы_товары'!E65)</x:f>
        <x:v>0.702405895577366</x:v>
      </x:c>
      <x:c r="E65" s="19" t="n">
        <x:f>200*('Месяцы_товары'!F77-'Месяцы_товары'!F65)/('Месяцы_товары'!F77+'Месяцы_товары'!F65)</x:f>
        <x:v>-1.289850791679967</x:v>
      </x:c>
    </x:row>
    <x:row r="66" ht="22" customHeight="1">
      <x:c r="A66" s="20" t="d">
        <x:v>2022-12-01T00:00:00.000Z</x:v>
      </x:c>
      <x:c r="B66" s="19" t="n">
        <x:f>200*('Месяцы_товары'!C78-'Месяцы_товары'!C66)/('Месяцы_товары'!C78+'Месяцы_товары'!C66)</x:f>
        <x:v>-0.819603052175128</x:v>
      </x:c>
      <x:c r="C66" s="19" t="n">
        <x:f>200*('Месяцы_товары'!D78-'Месяцы_товары'!D66)/('Месяцы_товары'!D78+'Месяцы_товары'!D66)</x:f>
        <x:v>-26.698172095378105</x:v>
      </x:c>
      <x:c r="D66" s="19" t="n">
        <x:f>200*('Месяцы_товары'!E78-'Месяцы_товары'!E66)/('Месяцы_товары'!E78+'Месяцы_товары'!E66)</x:f>
        <x:v>-4.247135235133066</x:v>
      </x:c>
      <x:c r="E66" s="19" t="n">
        <x:f>200*('Месяцы_товары'!F78-'Месяцы_товары'!F66)/('Месяцы_товары'!F78+'Месяцы_товары'!F66)</x:f>
        <x:v>-8.914892698843005</x:v>
      </x:c>
    </x:row>
    <x:row r="67" ht="22" customHeight="1">
      <x:c r="A67" s="20" t="d">
        <x:v>2023-01-01T00:00:00.000Z</x:v>
      </x:c>
      <x:c r="B67" s="19" t="n">
        <x:f>200*('Месяцы_товары'!C79-'Месяцы_товары'!C67)/('Месяцы_товары'!C79+'Месяцы_товары'!C67)</x:f>
        <x:v>-14.311996125434824</x:v>
      </x:c>
      <x:c r="C67" s="19" t="n">
        <x:f>200*('Месяцы_товары'!D79-'Месяцы_товары'!D67)/('Месяцы_товары'!D79+'Месяцы_товары'!D67)</x:f>
        <x:v>-19.28538553274202</x:v>
      </x:c>
      <x:c r="D67" s="19" t="n">
        <x:f>200*('Месяцы_товары'!E79-'Месяцы_товары'!E67)/('Месяцы_товары'!E79+'Месяцы_товары'!E67)</x:f>
        <x:v>-27.06011566473952</x:v>
      </x:c>
      <x:c r="E67" s="19" t="n">
        <x:f>200*('Месяцы_товары'!F79-'Месяцы_товары'!F67)/('Месяцы_товары'!F79+'Месяцы_товары'!F67)</x:f>
        <x:v>9.016682462172877</x:v>
      </x:c>
    </x:row>
    <x:row r="68" ht="22" customHeight="1">
      <x:c r="A68" s="20" t="d">
        <x:v>2023-02-01T00:00:00.000Z</x:v>
      </x:c>
      <x:c r="B68" s="19" t="n">
        <x:f>200*('Месяцы_товары'!C80-'Месяцы_товары'!C68)/('Месяцы_товары'!C80+'Месяцы_товары'!C68)</x:f>
        <x:v>-14.787052850258322</x:v>
      </x:c>
      <x:c r="C68" s="19" t="n">
        <x:f>200*('Месяцы_товары'!D80-'Месяцы_товары'!D68)/('Месяцы_товары'!D80+'Месяцы_товары'!D68)</x:f>
        <x:v>-11.741602901582128</x:v>
      </x:c>
      <x:c r="D68" s="19" t="n">
        <x:f>200*('Месяцы_товары'!E80-'Месяцы_товары'!E68)/('Месяцы_товары'!E80+'Месяцы_товары'!E68)</x:f>
        <x:v>-18.877226260359077</x:v>
      </x:c>
      <x:c r="E68" s="19" t="n">
        <x:f>200*('Месяцы_товары'!F80-'Месяцы_товары'!F68)/('Месяцы_товары'!F80+'Месяцы_товары'!F68)</x:f>
        <x:v>-4.023597873017323</x:v>
      </x:c>
    </x:row>
    <x:row r="69" ht="22" customHeight="1">
      <x:c r="A69" s="20" t="d">
        <x:v>2023-03-01T00:00:00.000Z</x:v>
      </x:c>
      <x:c r="B69" s="19" t="n">
        <x:f>200*('Месяцы_товары'!C81-'Месяцы_товары'!C69)/('Месяцы_товары'!C81+'Месяцы_товары'!C69)</x:f>
        <x:v>-6.558276017791026</x:v>
      </x:c>
      <x:c r="C69" s="19" t="n">
        <x:f>200*('Месяцы_товары'!D81-'Месяцы_товары'!D69)/('Месяцы_товары'!D81+'Месяцы_товары'!D69)</x:f>
        <x:v>-1.2112023763585944</x:v>
      </x:c>
      <x:c r="D69" s="19" t="n">
        <x:f>200*('Месяцы_товары'!E81-'Месяцы_товары'!E69)/('Месяцы_товары'!E81+'Месяцы_товары'!E69)</x:f>
        <x:v>-9.40732330622135</x:v>
      </x:c>
      <x:c r="E69" s="19" t="n">
        <x:f>200*('Месяцы_товары'!F81-'Месяцы_товары'!F69)/('Месяцы_товары'!F81+'Месяцы_товары'!F69)</x:f>
        <x:v>-2.2746751075375804</x:v>
      </x:c>
    </x:row>
    <x:row r="70" ht="22" customHeight="1">
      <x:c r="A70" s="20" t="d">
        <x:v>2023-04-01T00:00:00.000Z</x:v>
      </x:c>
      <x:c r="B70" s="19" t="n">
        <x:f>200*('Месяцы_товары'!C82-'Месяцы_товары'!C70)/('Месяцы_товары'!C82+'Месяцы_товары'!C70)</x:f>
        <x:v>-6.658331133324592</x:v>
      </x:c>
      <x:c r="C70" s="19" t="n">
        <x:f>200*('Месяцы_товары'!D82-'Месяцы_товары'!D70)/('Месяцы_товары'!D82+'Месяцы_товары'!D70)</x:f>
        <x:v>-18.82545002425782</x:v>
      </x:c>
      <x:c r="D70" s="19" t="n">
        <x:f>200*('Месяцы_товары'!E82-'Месяцы_товары'!E70)/('Месяцы_товары'!E82+'Месяцы_товары'!E70)</x:f>
        <x:v>8.001937507975773</x:v>
      </x:c>
      <x:c r="E70" s="19" t="n">
        <x:f>200*('Месяцы_товары'!F82-'Месяцы_товары'!F70)/('Месяцы_товары'!F82+'Месяцы_товары'!F70)</x:f>
        <x:v>2.507106321166365</x:v>
      </x:c>
    </x:row>
    <x:row r="71" ht="22" customHeight="1">
      <x:c r="A71" s="20" t="d">
        <x:v>2023-05-01T00:00:00.000Z</x:v>
      </x:c>
      <x:c r="B71" s="19" t="n">
        <x:f>200*('Месяцы_товары'!C83-'Месяцы_товары'!C71)/('Месяцы_товары'!C83+'Месяцы_товары'!C71)</x:f>
        <x:v>-22.34161888958708</x:v>
      </x:c>
      <x:c r="C71" s="19" t="n">
        <x:f>200*('Месяцы_товары'!D83-'Месяцы_товары'!D71)/('Месяцы_товары'!D83+'Месяцы_товары'!D71)</x:f>
        <x:v>-27.596654907364027</x:v>
      </x:c>
      <x:c r="D71" s="19" t="n">
        <x:f>200*('Месяцы_товары'!E83-'Месяцы_товары'!E71)/('Месяцы_товары'!E83+'Месяцы_товары'!E71)</x:f>
        <x:v>-6.638265100173228</x:v>
      </x:c>
      <x:c r="E71" s="19" t="n">
        <x:f>200*('Месяцы_товары'!F83-'Месяцы_товары'!F71)/('Месяцы_товары'!F83+'Месяцы_товары'!F71)</x:f>
        <x:v>-2.5897422600767745</x:v>
      </x:c>
    </x:row>
    <x:row r="72" ht="22" customHeight="1">
      <x:c r="A72" s="20" t="d">
        <x:v>2023-06-01T00:00:00.000Z</x:v>
      </x:c>
      <x:c r="B72" s="19" t="n">
        <x:f>200*('Месяцы_товары'!C84-'Месяцы_товары'!C72)/('Месяцы_товары'!C84+'Месяцы_товары'!C72)</x:f>
        <x:v>-10.826636779095159</x:v>
      </x:c>
      <x:c r="C72" s="19" t="n">
        <x:f>200*('Месяцы_товары'!D84-'Месяцы_товары'!D72)/('Месяцы_товары'!D84+'Месяцы_товары'!D72)</x:f>
        <x:v>-34.74766436266574</x:v>
      </x:c>
      <x:c r="D72" s="19" t="n">
        <x:f>200*('Месяцы_товары'!E84-'Месяцы_товары'!E72)/('Месяцы_товары'!E84+'Месяцы_товары'!E72)</x:f>
        <x:v>-0.034860231796578024</x:v>
      </x:c>
      <x:c r="E72" s="19" t="n">
        <x:f>200*('Месяцы_товары'!F84-'Месяцы_товары'!F72)/('Месяцы_товары'!F84+'Месяцы_товары'!F72)</x:f>
        <x:v>10.303150331681879</x:v>
      </x:c>
    </x:row>
    <x:row r="73" ht="22" customHeight="1">
      <x:c r="A73" s="20" t="d">
        <x:v>2023-07-01T00:00:00.000Z</x:v>
      </x:c>
      <x:c r="B73" s="19" t="n">
        <x:f>200*('Месяцы_товары'!C85-'Месяцы_товары'!C73)/('Месяцы_товары'!C85+'Месяцы_товары'!C73)</x:f>
        <x:v>-13.281597193768215</x:v>
      </x:c>
      <x:c r="C73" s="19" t="n">
        <x:f>200*('Месяцы_товары'!D85-'Месяцы_товары'!D73)/('Месяцы_товары'!D85+'Месяцы_товары'!D73)</x:f>
        <x:v>-27.36702991711785</x:v>
      </x:c>
      <x:c r="D73" s="19" t="n">
        <x:f>200*('Месяцы_товары'!E85-'Месяцы_товары'!E73)/('Месяцы_товары'!E85+'Месяцы_товары'!E73)</x:f>
        <x:v>20.201452301554987</x:v>
      </x:c>
      <x:c r="E73" s="19" t="n">
        <x:f>200*('Месяцы_товары'!F85-'Месяцы_товары'!F73)/('Месяцы_товары'!F85+'Месяцы_товары'!F73)</x:f>
        <x:v>-9.309437301358676</x:v>
      </x:c>
    </x:row>
    <x:row r="74" ht="22" customHeight="1">
      <x:c r="A74" s="20" t="d">
        <x:v>2023-08-01T00:00:00.000Z</x:v>
      </x:c>
      <x:c r="B74" s="19" t="n">
        <x:f>200*('Месяцы_товары'!C86-'Месяцы_товары'!C74)/('Месяцы_товары'!C86+'Месяцы_товары'!C74)</x:f>
        <x:v>-3.0034208447845976</x:v>
      </x:c>
      <x:c r="C74" s="19" t="n">
        <x:f>200*('Месяцы_товары'!D86-'Месяцы_товары'!D74)/('Месяцы_товары'!D86+'Месяцы_товары'!D74)</x:f>
        <x:v>8.686638882610572</x:v>
      </x:c>
      <x:c r="D74" s="19" t="n">
        <x:f>200*('Месяцы_товары'!E86-'Месяцы_товары'!E74)/('Месяцы_товары'!E86+'Месяцы_товары'!E74)</x:f>
        <x:v>6.617294723218421</x:v>
      </x:c>
      <x:c r="E74" s="19" t="n">
        <x:f>200*('Месяцы_товары'!F86-'Месяцы_товары'!F74)/('Месяцы_товары'!F86+'Месяцы_товары'!F74)</x:f>
        <x:v>9.500766116787382</x:v>
      </x:c>
    </x:row>
    <x:row r="75" ht="22" customHeight="1">
      <x:c r="A75" s="20" t="d">
        <x:v>2023-09-01T00:00:00.000Z</x:v>
      </x:c>
      <x:c r="B75" s="19" t="n">
        <x:f>200*('Месяцы_товары'!C87-'Месяцы_товары'!C75)/('Месяцы_товары'!C87+'Месяцы_товары'!C75)</x:f>
        <x:v>0.3080827265683767</x:v>
      </x:c>
      <x:c r="C75" s="19" t="n">
        <x:f>200*('Месяцы_товары'!D87-'Месяцы_товары'!D75)/('Месяцы_товары'!D87+'Месяцы_товары'!D75)</x:f>
        <x:v>-21.22347745820362</x:v>
      </x:c>
      <x:c r="D75" s="19" t="n">
        <x:f>200*('Месяцы_товары'!E87-'Месяцы_товары'!E75)/('Месяцы_товары'!E87+'Месяцы_товары'!E75)</x:f>
        <x:v>8.451253773558324</x:v>
      </x:c>
      <x:c r="E75" s="19" t="n">
        <x:f>200*('Месяцы_товары'!F87-'Месяцы_товары'!F75)/('Месяцы_товары'!F87+'Месяцы_товары'!F75)</x:f>
        <x:v>-10.200057529264043</x:v>
      </x:c>
    </x:row>
    <x:row r="76" ht="22" customHeight="1">
      <x:c r="A76" s="20" t="d">
        <x:v>2023-10-01T00:00:00.000Z</x:v>
      </x:c>
      <x:c r="B76" s="19" t="n">
        <x:f>200*('Месяцы_товары'!C88-'Месяцы_товары'!C76)/('Месяцы_товары'!C88+'Месяцы_товары'!C76)</x:f>
        <x:v>-5.540224985206503</x:v>
      </x:c>
      <x:c r="C76" s="19" t="n">
        <x:f>200*('Месяцы_товары'!D88-'Месяцы_товары'!D76)/('Месяцы_товары'!D88+'Месяцы_товары'!D76)</x:f>
        <x:v>-8.55826734760148</x:v>
      </x:c>
      <x:c r="D76" s="19" t="n">
        <x:f>200*('Месяцы_товары'!E88-'Месяцы_товары'!E76)/('Месяцы_товары'!E88+'Месяцы_товары'!E76)</x:f>
        <x:v>4.033143112476955</x:v>
      </x:c>
      <x:c r="E76" s="19" t="n">
        <x:f>200*('Месяцы_товары'!F88-'Месяцы_товары'!F76)/('Месяцы_товары'!F88+'Месяцы_товары'!F76)</x:f>
        <x:v>7.698649749423371</x:v>
      </x:c>
    </x:row>
    <x:row r="77" ht="22" customHeight="1">
      <x:c r="A77" s="20" t="d">
        <x:v>2023-11-01T00:00:00.000Z</x:v>
      </x:c>
      <x:c r="B77" s="19" t="n">
        <x:f>200*('Месяцы_товары'!C89-'Месяцы_товары'!C77)/('Месяцы_товары'!C89+'Месяцы_товары'!C77)</x:f>
        <x:v>-6.359449339143868</x:v>
      </x:c>
      <x:c r="C77" s="19" t="n">
        <x:f>200*('Месяцы_товары'!D89-'Месяцы_товары'!D77)/('Месяцы_товары'!D89+'Месяцы_товары'!D77)</x:f>
        <x:v>-2.3020110951823893</x:v>
      </x:c>
      <x:c r="D77" s="19" t="n">
        <x:f>200*('Месяцы_товары'!E89-'Месяцы_товары'!E77)/('Месяцы_товары'!E89+'Месяцы_товары'!E77)</x:f>
        <x:v>-14.8229283667181</x:v>
      </x:c>
      <x:c r="E77" s="19" t="n">
        <x:f>200*('Месяцы_товары'!F89-'Месяцы_товары'!F77)/('Месяцы_товары'!F89+'Месяцы_товары'!F77)</x:f>
        <x:v>18.9404534347308</x:v>
      </x:c>
    </x:row>
    <x:row r="78" ht="22" customHeight="1">
      <x:c r="A78" s="20" t="d">
        <x:v>2023-12-01T00:00:00.000Z</x:v>
      </x:c>
      <x:c r="B78" s="19" t="n">
        <x:f>200*('Месяцы_товары'!C90-'Месяцы_товары'!C78)/('Месяцы_товары'!C90+'Месяцы_товары'!C78)</x:f>
        <x:v>-4.579650467484219</x:v>
      </x:c>
      <x:c r="C78" s="19" t="n">
        <x:f>200*('Месяцы_товары'!D90-'Месяцы_товары'!D78)/('Месяцы_товары'!D90+'Месяцы_товары'!D78)</x:f>
        <x:v>-11.165833468423825</x:v>
      </x:c>
      <x:c r="D78" s="19" t="n">
        <x:f>200*('Месяцы_товары'!E90-'Месяцы_товары'!E78)/('Месяцы_товары'!E90+'Месяцы_товары'!E78)</x:f>
        <x:v>-13.880172000294973</x:v>
      </x:c>
      <x:c r="E78" s="19" t="n">
        <x:f>200*('Месяцы_товары'!F90-'Месяцы_товары'!F78)/('Месяцы_товары'!F90+'Месяцы_товары'!F78)</x:f>
        <x:v>7.546162991828195</x:v>
      </x:c>
    </x:row>
    <x:row r="79" ht="22" customHeight="1">
      <x:c r="A79" s="20" t="d">
        <x:v>2024-01-01T00:00:00.000Z</x:v>
      </x:c>
      <x:c r="B79" s="19" t="n">
        <x:f>200*('Месяцы_товары'!C91-'Месяцы_товары'!C79)/('Месяцы_товары'!C91+'Месяцы_товары'!C79)</x:f>
        <x:v>-4.50106276129025</x:v>
      </x:c>
      <x:c r="C79" s="19" t="n">
        <x:f>200*('Месяцы_товары'!D91-'Месяцы_товары'!D79)/('Месяцы_товары'!D91+'Месяцы_товары'!D79)</x:f>
        <x:v>-7.4258012326276015</x:v>
      </x:c>
      <x:c r="D79" s="19" t="n">
        <x:f>200*('Месяцы_товары'!E91-'Месяцы_товары'!E79)/('Месяцы_товары'!E91+'Месяцы_товары'!E79)</x:f>
        <x:v>12.663066612887455</x:v>
      </x:c>
      <x:c r="E79" s="19" t="n">
        <x:f>200*('Месяцы_товары'!F91-'Месяцы_товары'!F79)/('Месяцы_товары'!F91+'Месяцы_товары'!F79)</x:f>
        <x:v>5.842040373333217</x:v>
      </x:c>
    </x:row>
    <x:row r="80" ht="22" customHeight="1">
      <x:c r="A80" s="20" t="d">
        <x:v>2024-02-01T00:00:00.000Z</x:v>
      </x:c>
      <x:c r="B80" s="19" t="n">
        <x:f>200*('Месяцы_товары'!C92-'Месяцы_товары'!C80)/('Месяцы_товары'!C92+'Месяцы_товары'!C80)</x:f>
        <x:v>-4.779110877128631</x:v>
      </x:c>
      <x:c r="C80" s="19" t="n">
        <x:f>200*('Месяцы_товары'!D92-'Месяцы_товары'!D80)/('Месяцы_товары'!D92+'Месяцы_товары'!D80)</x:f>
        <x:v>-13.398674960235443</x:v>
      </x:c>
      <x:c r="D80" s="19" t="n">
        <x:f>200*('Месяцы_товары'!E92-'Месяцы_товары'!E80)/('Месяцы_товары'!E92+'Месяцы_товары'!E80)</x:f>
        <x:v>5.254625910290851</x:v>
      </x:c>
      <x:c r="E80" s="19" t="n">
        <x:f>200*('Месяцы_товары'!F92-'Месяцы_товары'!F80)/('Месяцы_товары'!F92+'Месяцы_товары'!F80)</x:f>
        <x:v>10.439175968420761</x:v>
      </x:c>
    </x:row>
    <x:row r="81" ht="22" customHeight="1">
      <x:c r="A81" s="20" t="d">
        <x:v>2024-03-01T00:00:00.000Z</x:v>
      </x:c>
      <x:c r="B81" s="19" t="n">
        <x:f>200*('Месяцы_товары'!C93-'Месяцы_товары'!C81)/('Месяцы_товары'!C93+'Месяцы_товары'!C81)</x:f>
        <x:v>1.0473006090466475</x:v>
      </x:c>
      <x:c r="C81" s="19" t="n">
        <x:f>200*('Месяцы_товары'!D93-'Месяцы_товары'!D81)/('Месяцы_товары'!D93+'Месяцы_товары'!D81)</x:f>
        <x:v>2.0485630172648612</x:v>
      </x:c>
      <x:c r="D81" s="19" t="n">
        <x:f>200*('Месяцы_товары'!E93-'Месяцы_товары'!E81)/('Месяцы_товары'!E93+'Месяцы_товары'!E81)</x:f>
        <x:v>-17.03791238149117</x:v>
      </x:c>
      <x:c r="E81" s="19" t="n">
        <x:f>200*('Месяцы_товары'!F93-'Месяцы_товары'!F81)/('Месяцы_товары'!F93+'Месяцы_товары'!F81)</x:f>
        <x:v>5.691655477041713</x:v>
      </x:c>
    </x:row>
    <x:row r="82" ht="22" customHeight="1">
      <x:c r="A82" s="20" t="d">
        <x:v>2024-04-01T00:00:00.000Z</x:v>
      </x:c>
      <x:c r="B82" s="19" t="n">
        <x:f>200*('Месяцы_товары'!C94-'Месяцы_товары'!C82)/('Месяцы_товары'!C94+'Месяцы_товары'!C82)</x:f>
        <x:v>-4.711216695812303</x:v>
      </x:c>
      <x:c r="C82" s="19" t="n">
        <x:f>200*('Месяцы_товары'!D94-'Месяцы_товары'!D82)/('Месяцы_товары'!D94+'Месяцы_товары'!D82)</x:f>
        <x:v>16.008353816839534</x:v>
      </x:c>
      <x:c r="D82" s="19" t="n">
        <x:f>200*('Месяцы_товары'!E94-'Месяцы_товары'!E82)/('Месяцы_товары'!E94+'Месяцы_товары'!E82)</x:f>
        <x:v>-22.711718311070594</x:v>
      </x:c>
      <x:c r="E82" s="19" t="n">
        <x:f>200*('Месяцы_товары'!F94-'Месяцы_товары'!F82)/('Месяцы_товары'!F94+'Месяцы_товары'!F82)</x:f>
        <x:v>13.970842298306083</x:v>
      </x:c>
    </x:row>
    <x:row r="83" ht="22" customHeight="1">
      <x:c r="A83" s="20" t="d">
        <x:v>2024-05-01T00:00:00.000Z</x:v>
      </x:c>
      <x:c r="B83" s="19" t="n">
        <x:f>200*('Месяцы_товары'!C95-'Месяцы_товары'!C83)/('Месяцы_товары'!C95+'Месяцы_товары'!C83)</x:f>
        <x:v>9.109724273417573</x:v>
      </x:c>
      <x:c r="C83" s="19" t="n">
        <x:f>200*('Месяцы_товары'!D95-'Месяцы_товары'!D83)/('Месяцы_товары'!D95+'Месяцы_товары'!D83)</x:f>
        <x:v>19.36203931584826</x:v>
      </x:c>
      <x:c r="D83" s="19" t="n">
        <x:f>200*('Месяцы_товары'!E95-'Месяцы_товары'!E83)/('Месяцы_товары'!E95+'Месяцы_товары'!E83)</x:f>
        <x:v>-11.770436338093653</x:v>
      </x:c>
      <x:c r="E83" s="19" t="n">
        <x:f>200*('Месяцы_товары'!F95-'Месяцы_товары'!F83)/('Месяцы_товары'!F95+'Месяцы_товары'!F83)</x:f>
        <x:v>11.886031421093836</x:v>
      </x:c>
    </x:row>
    <x:row r="84" ht="22" customHeight="1">
      <x:c r="A84" s="20" t="d">
        <x:v>2024-06-01T00:00:00.000Z</x:v>
      </x:c>
      <x:c r="B84" s="19" t="n">
        <x:f>200*('Месяцы_товары'!C96-'Месяцы_товары'!C84)/('Месяцы_товары'!C96+'Месяцы_товары'!C84)</x:f>
        <x:v>-3.873561205817477</x:v>
      </x:c>
      <x:c r="C84" s="19" t="n">
        <x:f>200*('Месяцы_товары'!D96-'Месяцы_товары'!D84)/('Месяцы_товары'!D96+'Месяцы_товары'!D84)</x:f>
        <x:v>3.5236699334993844</x:v>
      </x:c>
      <x:c r="D84" s="19" t="n">
        <x:f>200*('Месяцы_товары'!E96-'Месяцы_товары'!E84)/('Месяцы_товары'!E96+'Месяцы_товары'!E84)</x:f>
        <x:v>-10.678488621269128</x:v>
      </x:c>
      <x:c r="E84" s="19" t="n">
        <x:f>200*('Месяцы_товары'!F96-'Месяцы_товары'!F84)/('Месяцы_товары'!F96+'Месяцы_товары'!F84)</x:f>
        <x:v>-9.40565747742087</x:v>
      </x:c>
    </x:row>
    <x:row r="85" ht="22" customHeight="1">
      <x:c r="A85" s="20" t="d">
        <x:v>2024-07-01T00:00:00.000Z</x:v>
      </x:c>
      <x:c r="B85" s="19" t="n">
        <x:f>200*('Месяцы_товары'!C97-'Месяцы_товары'!C85)/('Месяцы_товары'!C97+'Месяцы_товары'!C85)</x:f>
        <x:v>-5.261043996957285</x:v>
      </x:c>
      <x:c r="C85" s="19" t="n">
        <x:f>200*('Месяцы_товары'!D97-'Месяцы_товары'!D85)/('Месяцы_товары'!D97+'Месяцы_товары'!D85)</x:f>
        <x:v>21.449613603488416</x:v>
      </x:c>
      <x:c r="D85" s="19" t="n">
        <x:f>200*('Месяцы_товары'!E97-'Месяцы_товары'!E85)/('Месяцы_товары'!E97+'Месяцы_товары'!E85)</x:f>
        <x:v>-36.380480659167766</x:v>
      </x:c>
      <x:c r="E85" s="19" t="n">
        <x:f>200*('Месяцы_товары'!F97-'Месяцы_товары'!F85)/('Месяцы_товары'!F97+'Месяцы_товары'!F85)</x:f>
        <x:v>20.430736380347103</x:v>
      </x:c>
    </x:row>
    <x:row r="86" ht="22" customHeight="1">
      <x:c r="A86" s="20" t="d">
        <x:v>2024-08-01T00:00:00.000Z</x:v>
      </x:c>
      <x:c r="B86" s="19" t="n">
        <x:f>200*('Месяцы_товары'!C98-'Месяцы_товары'!C86)/('Месяцы_товары'!C98+'Месяцы_товары'!C86)</x:f>
        <x:v>-14.763406336504849</x:v>
      </x:c>
      <x:c r="C86" s="19" t="n">
        <x:f>200*('Месяцы_товары'!D98-'Месяцы_товары'!D86)/('Месяцы_товары'!D98+'Месяцы_товары'!D86)</x:f>
        <x:v>27.3437414872601</x:v>
      </x:c>
      <x:c r="D86" s="19" t="n">
        <x:f>200*('Месяцы_товары'!E98-'Месяцы_товары'!E86)/('Месяцы_товары'!E98+'Месяцы_товары'!E86)</x:f>
        <x:v>-17.545436674374717</x:v>
      </x:c>
      <x:c r="E86" s="19" t="n">
        <x:f>200*('Месяцы_товары'!F98-'Месяцы_товары'!F86)/('Месяцы_товары'!F98+'Месяцы_товары'!F86)</x:f>
        <x:v>14.444140537581907</x:v>
      </x:c>
    </x:row>
    <x:row r="87" ht="22" customHeight="1">
      <x:c r="A87" s="20" t="d">
        <x:v>2024-09-01T00:00:00.000Z</x:v>
      </x:c>
      <x:c r="B87" s="19" t="n">
        <x:f>200*('Месяцы_товары'!C99-'Месяцы_товары'!C87)/('Месяцы_товары'!C99+'Месяцы_товары'!C87)</x:f>
        <x:v>-8.384712297676117</x:v>
      </x:c>
      <x:c r="C87" s="19" t="n">
        <x:f>200*('Месяцы_товары'!D99-'Месяцы_товары'!D87)/('Месяцы_товары'!D99+'Месяцы_товары'!D87)</x:f>
        <x:v>24.71696024900325</x:v>
      </x:c>
      <x:c r="D87" s="19" t="n">
        <x:f>200*('Месяцы_товары'!E99-'Месяцы_товары'!E87)/('Месяцы_товары'!E99+'Месяцы_товары'!E87)</x:f>
        <x:v>-37.653000230812964</x:v>
      </x:c>
      <x:c r="E87" s="19" t="n">
        <x:f>200*('Месяцы_товары'!F99-'Месяцы_товары'!F87)/('Месяцы_товары'!F99+'Месяцы_товары'!F87)</x:f>
        <x:v>24.492198730121764</x:v>
      </x:c>
    </x:row>
    <x:row r="88" ht="22" customHeight="1">
      <x:c r="A88" s="20" t="d">
        <x:v>2024-10-01T00:00:00.000Z</x:v>
      </x:c>
      <x:c r="B88" s="19" t="n">
        <x:f>200*('Месяцы_товары'!C100-'Месяцы_товары'!C88)/('Месяцы_товары'!C100+'Месяцы_товары'!C88)</x:f>
        <x:v>-18.026322885732913</x:v>
      </x:c>
      <x:c r="C88" s="19" t="n">
        <x:f>200*('Месяцы_товары'!D100-'Месяцы_товары'!D88)/('Месяцы_товары'!D100+'Месяцы_товары'!D88)</x:f>
        <x:v>12.029119407621739</x:v>
      </x:c>
      <x:c r="D88" s="19" t="n">
        <x:f>200*('Месяцы_товары'!E100-'Месяцы_товары'!E88)/('Месяцы_товары'!E100+'Месяцы_товары'!E88)</x:f>
        <x:v>-7.177668645923921</x:v>
      </x:c>
      <x:c r="E88" s="19" t="n">
        <x:f>200*('Месяцы_товары'!F100-'Месяцы_товары'!F88)/('Месяцы_товары'!F100+'Месяцы_товары'!F88)</x:f>
        <x:v>-0.5946561155764073</x:v>
      </x:c>
    </x:row>
    <x:row r="89" ht="22" customHeight="1">
      <x:c r="A89" s="20" t="d">
        <x:v>2024-11-01T00:00:00.000Z</x:v>
      </x:c>
      <x:c r="B89" s="19" t="n">
        <x:f>200*('Месяцы_товары'!C101-'Месяцы_товары'!C89)/('Месяцы_товары'!C101+'Месяцы_товары'!C89)</x:f>
        <x:v>-9.028353340062468</x:v>
      </x:c>
      <x:c r="C89" s="19" t="n">
        <x:f>200*('Месяцы_товары'!D101-'Месяцы_товары'!D89)/('Месяцы_товары'!D101+'Месяцы_товары'!D89)</x:f>
        <x:v>9.296197560576923</x:v>
      </x:c>
      <x:c r="D89" s="19" t="n">
        <x:f>200*('Месяцы_товары'!E101-'Месяцы_товары'!E89)/('Месяцы_товары'!E101+'Месяцы_товары'!E89)</x:f>
        <x:v>-15.496379902239582</x:v>
      </x:c>
      <x:c r="E89" s="19" t="n">
        <x:f>200*('Месяцы_товары'!F101-'Месяцы_товары'!F89)/('Месяцы_товары'!F101+'Месяцы_товары'!F89)</x:f>
        <x:v>-17.175895099542654</x:v>
      </x:c>
    </x:row>
    <x:row r="90" ht="22" customHeight="1">
      <x:c r="A90" s="20" t="d">
        <x:v>2024-12-01T00:00:00.000Z</x:v>
      </x:c>
      <x:c r="B90" s="19" t="n">
        <x:f>200*('Месяцы_товары'!C102-'Месяцы_товары'!C90)/('Месяцы_товары'!C102+'Месяцы_товары'!C90)</x:f>
        <x:v>-21.976174017015992</x:v>
      </x:c>
      <x:c r="C90" s="19" t="n">
        <x:f>200*('Месяцы_товары'!D102-'Месяцы_товары'!D90)/('Месяцы_товары'!D102+'Месяцы_товары'!D90)</x:f>
        <x:v>19.758234508771608</x:v>
      </x:c>
      <x:c r="D90" s="19" t="n">
        <x:f>200*('Месяцы_товары'!E102-'Месяцы_товары'!E90)/('Месяцы_товары'!E102+'Месяцы_товары'!E90)</x:f>
        <x:v>1.1954461439777895</x:v>
      </x:c>
      <x:c r="E90" s="19" t="n">
        <x:f>200*('Месяцы_товары'!F102-'Месяцы_товары'!F90)/('Месяцы_товары'!F102+'Месяцы_товары'!F90)</x:f>
        <x:v>-4.861294430023055</x:v>
      </x:c>
    </x:row>
    <x:row r="91" ht="22" customHeight="1">
      <x:c r="A91" s="2"/>
      <x:c r="B91" s="2"/>
      <x:c r="C91" s="2"/>
      <x:c r="D91" s="2"/>
      <x:c r="E91" s="2"/>
    </x:row>
    <x:row r="92" ht="22" customHeight="1">
      <x:c r="A92" s="2"/>
      <x:c r="B92" s="2"/>
      <x:c r="C92" s="2"/>
      <x:c r="D92" s="2"/>
      <x:c r="E92" s="2"/>
    </x:row>
    <x:row r="93" ht="26" customHeight="1">
      <x:c r="A93" s="8" t="str">
        <x:v>Республика Корея</x:v>
      </x:c>
      <x:c r="B93" s="2"/>
      <x:c r="C93" s="2"/>
      <x:c r="D93" s="2"/>
      <x:c r="E93" s="2"/>
    </x:row>
    <x:row r="94" ht="36" customHeight="1">
      <x:c r="A94" s="13" t="str">
        <x:v>Месяц</x:v>
      </x:c>
      <x:c r="B94" s="13" t="str">
        <x:v>Процессоры и контроллеры</x:v>
      </x:c>
      <x:c r="C94" s="13" t="str">
        <x:v>Память</x:v>
      </x:c>
      <x:c r="D94" s="13" t="str">
        <x:v>Усилители</x:v>
      </x:c>
      <x:c r="E94" s="13" t="str">
        <x:v>Прочие интегральные схемы</x:v>
      </x:c>
    </x:row>
    <x:row r="95" ht="22" customHeight="1">
      <x:c r="A95" s="20" t="d">
        <x:v>2018-01-01T00:00:00.000Z</x:v>
      </x:c>
      <x:c r="B95" s="19" t="n">
        <x:f>200*('Месяцы_товары'!C115-'Месяцы_товары'!C103)/('Месяцы_товары'!C115+'Месяцы_товары'!C103)</x:f>
        <x:v>24.668337804407614</x:v>
      </x:c>
      <x:c r="C95" s="19" t="n">
        <x:f>200*('Месяцы_товары'!D115-'Месяцы_товары'!D103)/('Месяцы_товары'!D115+'Месяцы_товары'!D103)</x:f>
        <x:v>51.12239209232466</x:v>
      </x:c>
      <x:c r="D95" s="19" t="n">
        <x:f>200*('Месяцы_товары'!E115-'Месяцы_товары'!E103)/('Месяцы_товары'!E115+'Месяцы_товары'!E103)</x:f>
        <x:v>23.523449977019954</x:v>
      </x:c>
      <x:c r="E95" s="19" t="n">
        <x:f>200*('Месяцы_товары'!F115-'Месяцы_товары'!F103)/('Месяцы_товары'!F115+'Месяцы_товары'!F103)</x:f>
        <x:v>10.551615198154277</x:v>
      </x:c>
    </x:row>
    <x:row r="96" ht="22" customHeight="1">
      <x:c r="A96" s="20" t="d">
        <x:v>2018-02-01T00:00:00.000Z</x:v>
      </x:c>
      <x:c r="B96" s="19" t="n">
        <x:f>200*('Месяцы_товары'!C116-'Месяцы_товары'!C104)/('Месяцы_товары'!C116+'Месяцы_товары'!C104)</x:f>
        <x:v>11.6658430199523</x:v>
      </x:c>
      <x:c r="C96" s="19" t="n">
        <x:f>200*('Месяцы_товары'!D116-'Месяцы_товары'!D104)/('Месяцы_товары'!D116+'Месяцы_товары'!D104)</x:f>
        <x:v>43.6778104462209</x:v>
      </x:c>
      <x:c r="D96" s="19" t="n">
        <x:f>200*('Месяцы_товары'!E116-'Месяцы_товары'!E104)/('Месяцы_товары'!E116+'Месяцы_товары'!E104)</x:f>
        <x:v>-4.69880209806463</x:v>
      </x:c>
      <x:c r="E96" s="19" t="n">
        <x:f>200*('Месяцы_товары'!F116-'Месяцы_товары'!F104)/('Месяцы_товары'!F116+'Месяцы_товары'!F104)</x:f>
        <x:v>5.20474690904997</x:v>
      </x:c>
    </x:row>
    <x:row r="97" ht="22" customHeight="1">
      <x:c r="A97" s="20" t="d">
        <x:v>2018-03-01T00:00:00.000Z</x:v>
      </x:c>
      <x:c r="B97" s="19" t="n">
        <x:f>200*('Месяцы_товары'!C117-'Месяцы_товары'!C105)/('Месяцы_товары'!C117+'Месяцы_товары'!C105)</x:f>
        <x:v>5.635576521309957</x:v>
      </x:c>
      <x:c r="C97" s="19" t="n">
        <x:f>200*('Месяцы_товары'!D117-'Месяцы_товары'!D105)/('Месяцы_товары'!D117+'Месяцы_товары'!D105)</x:f>
        <x:v>48.88891944416003</x:v>
      </x:c>
      <x:c r="D97" s="19" t="n">
        <x:f>200*('Месяцы_товары'!E117-'Месяцы_товары'!E105)/('Месяцы_товары'!E117+'Месяцы_товары'!E105)</x:f>
        <x:v>19.84460368576552</x:v>
      </x:c>
      <x:c r="E97" s="19" t="n">
        <x:f>200*('Месяцы_товары'!F117-'Месяцы_товары'!F105)/('Месяцы_товары'!F117+'Месяцы_товары'!F105)</x:f>
        <x:v>6.664664614848583</x:v>
      </x:c>
    </x:row>
    <x:row r="98" ht="22" customHeight="1">
      <x:c r="A98" s="20" t="d">
        <x:v>2018-04-01T00:00:00.000Z</x:v>
      </x:c>
      <x:c r="B98" s="19" t="n">
        <x:f>200*('Месяцы_товары'!C118-'Месяцы_товары'!C106)/('Месяцы_товары'!C118+'Месяцы_товары'!C106)</x:f>
        <x:v>15.328524292863797</x:v>
      </x:c>
      <x:c r="C98" s="19" t="n">
        <x:f>200*('Месяцы_товары'!D118-'Месяцы_товары'!D106)/('Месяцы_товары'!D118+'Месяцы_товары'!D106)</x:f>
        <x:v>38.10589381572018</x:v>
      </x:c>
      <x:c r="D98" s="19" t="n">
        <x:f>200*('Месяцы_товары'!E118-'Месяцы_товары'!E106)/('Месяцы_товары'!E118+'Месяцы_товары'!E106)</x:f>
        <x:v>29.514809286324066</x:v>
      </x:c>
      <x:c r="E98" s="19" t="n">
        <x:f>200*('Месяцы_товары'!F118-'Месяцы_товары'!F106)/('Месяцы_товары'!F118+'Месяцы_товары'!F106)</x:f>
        <x:v>15.947539428234366</x:v>
      </x:c>
    </x:row>
    <x:row r="99" ht="22" customHeight="1">
      <x:c r="A99" s="20" t="d">
        <x:v>2018-05-01T00:00:00.000Z</x:v>
      </x:c>
      <x:c r="B99" s="19" t="n">
        <x:f>200*('Месяцы_товары'!C119-'Месяцы_товары'!C107)/('Месяцы_товары'!C119+'Месяцы_товары'!C107)</x:f>
        <x:v>-3.7460736770857612</x:v>
      </x:c>
      <x:c r="C99" s="19" t="n">
        <x:f>200*('Месяцы_товары'!D119-'Месяцы_товары'!D107)/('Месяцы_товары'!D119+'Месяцы_товары'!D107)</x:f>
        <x:v>49.82786460093823</x:v>
      </x:c>
      <x:c r="D99" s="19" t="n">
        <x:f>200*('Месяцы_товары'!E119-'Месяцы_товары'!E107)/('Месяцы_товары'!E119+'Месяцы_товары'!E107)</x:f>
        <x:v>46.39380084879439</x:v>
      </x:c>
      <x:c r="E99" s="19" t="n">
        <x:f>200*('Месяцы_товары'!F119-'Месяцы_товары'!F107)/('Месяцы_товары'!F119+'Месяцы_товары'!F107)</x:f>
        <x:v>7.3087361118195195</x:v>
      </x:c>
    </x:row>
    <x:row r="100" ht="22" customHeight="1">
      <x:c r="A100" s="20" t="d">
        <x:v>2018-06-01T00:00:00.000Z</x:v>
      </x:c>
      <x:c r="B100" s="19" t="n">
        <x:f>200*('Месяцы_товары'!C120-'Месяцы_товары'!C108)/('Месяцы_товары'!C120+'Месяцы_товары'!C108)</x:f>
        <x:v>1.8592937286821472</x:v>
      </x:c>
      <x:c r="C100" s="19" t="n">
        <x:f>200*('Месяцы_товары'!D120-'Месяцы_товары'!D108)/('Месяцы_товары'!D120+'Месяцы_товары'!D108)</x:f>
        <x:v>41.04961661485125</x:v>
      </x:c>
      <x:c r="D100" s="19" t="n">
        <x:f>200*('Месяцы_товары'!E120-'Месяцы_товары'!E108)/('Месяцы_товары'!E120+'Месяцы_товары'!E108)</x:f>
        <x:v>-2.1698419727307985</x:v>
      </x:c>
      <x:c r="E100" s="19" t="n">
        <x:f>200*('Месяцы_товары'!F120-'Месяцы_товары'!F108)/('Месяцы_товары'!F120+'Месяцы_товары'!F108)</x:f>
        <x:v>11.669707358041514</x:v>
      </x:c>
    </x:row>
    <x:row r="101" ht="22" customHeight="1">
      <x:c r="A101" s="20" t="d">
        <x:v>2018-07-01T00:00:00.000Z</x:v>
      </x:c>
      <x:c r="B101" s="19" t="n">
        <x:f>200*('Месяцы_товары'!C121-'Месяцы_товары'!C109)/('Месяцы_товары'!C121+'Месяцы_товары'!C109)</x:f>
        <x:v>-1.0493843433790184</x:v>
      </x:c>
      <x:c r="C101" s="19" t="n">
        <x:f>200*('Месяцы_товары'!D121-'Месяцы_товары'!D109)/('Месяцы_товары'!D121+'Месяцы_товары'!D109)</x:f>
        <x:v>37.17368121701821</x:v>
      </x:c>
      <x:c r="D101" s="19" t="n">
        <x:f>200*('Месяцы_товары'!E121-'Месяцы_товары'!E109)/('Месяцы_товары'!E121+'Месяцы_товары'!E109)</x:f>
        <x:v>-23.445286639278372</x:v>
      </x:c>
      <x:c r="E101" s="19" t="n">
        <x:f>200*('Месяцы_товары'!F121-'Месяцы_товары'!F109)/('Месяцы_товары'!F121+'Месяцы_товары'!F109)</x:f>
        <x:v>18.09053743450944</x:v>
      </x:c>
    </x:row>
    <x:row r="102" ht="22" customHeight="1">
      <x:c r="A102" s="20" t="d">
        <x:v>2018-08-01T00:00:00.000Z</x:v>
      </x:c>
      <x:c r="B102" s="19" t="n">
        <x:f>200*('Месяцы_товары'!C122-'Месяцы_товары'!C110)/('Месяцы_товары'!C122+'Месяцы_товары'!C110)</x:f>
        <x:v>3.522136629001246</x:v>
      </x:c>
      <x:c r="C102" s="19" t="n">
        <x:f>200*('Месяцы_товары'!D122-'Месяцы_товары'!D110)/('Месяцы_товары'!D122+'Месяцы_товары'!D110)</x:f>
        <x:v>36.586842470769774</x:v>
      </x:c>
      <x:c r="D102" s="19" t="n">
        <x:f>200*('Месяцы_товары'!E122-'Месяцы_товары'!E110)/('Месяцы_товары'!E122+'Месяцы_товары'!E110)</x:f>
        <x:v>23.549415959615413</x:v>
      </x:c>
      <x:c r="E102" s="19" t="n">
        <x:f>200*('Месяцы_товары'!F122-'Месяцы_товары'!F110)/('Месяцы_товары'!F122+'Месяцы_товары'!F110)</x:f>
        <x:v>13.644150176323857</x:v>
      </x:c>
    </x:row>
    <x:row r="103" ht="22" customHeight="1">
      <x:c r="A103" s="20" t="d">
        <x:v>2018-09-01T00:00:00.000Z</x:v>
      </x:c>
      <x:c r="B103" s="19" t="n">
        <x:f>200*('Месяцы_товары'!C123-'Месяцы_товары'!C111)/('Месяцы_товары'!C123+'Месяцы_товары'!C111)</x:f>
        <x:v>-10.383245326481934</x:v>
      </x:c>
      <x:c r="C103" s="19" t="n">
        <x:f>200*('Месяцы_товары'!D123-'Месяцы_товары'!D111)/('Месяцы_товары'!D123+'Месяцы_товары'!D111)</x:f>
        <x:v>38.27583352886286</x:v>
      </x:c>
      <x:c r="D103" s="19" t="n">
        <x:f>200*('Месяцы_товары'!E123-'Месяцы_товары'!E111)/('Месяцы_товары'!E123+'Месяцы_товары'!E111)</x:f>
        <x:v>-49.59990159995995</x:v>
      </x:c>
      <x:c r="E103" s="19" t="n">
        <x:f>200*('Месяцы_товары'!F123-'Месяцы_товары'!F111)/('Месяцы_товары'!F123+'Месяцы_товары'!F111)</x:f>
        <x:v>-6.80890561959024</x:v>
      </x:c>
    </x:row>
    <x:row r="104" ht="22" customHeight="1">
      <x:c r="A104" s="20" t="d">
        <x:v>2018-10-01T00:00:00.000Z</x:v>
      </x:c>
      <x:c r="B104" s="19" t="n">
        <x:f>200*('Месяцы_товары'!C124-'Месяцы_товары'!C112)/('Месяцы_товары'!C124+'Месяцы_товары'!C112)</x:f>
        <x:v>8.681236798404644</x:v>
      </x:c>
      <x:c r="C104" s="19" t="n">
        <x:f>200*('Месяцы_товары'!D124-'Месяцы_товары'!D112)/('Месяцы_товары'!D124+'Месяцы_товары'!D112)</x:f>
        <x:v>20.042960314436492</x:v>
      </x:c>
      <x:c r="D104" s="19" t="n">
        <x:f>200*('Месяцы_товары'!E124-'Месяцы_товары'!E112)/('Месяцы_товары'!E124+'Месяцы_товары'!E112)</x:f>
        <x:v>-18.48083906044281</x:v>
      </x:c>
      <x:c r="E104" s="19" t="n">
        <x:f>200*('Месяцы_товары'!F124-'Месяцы_товары'!F112)/('Месяцы_товары'!F124+'Месяцы_товары'!F112)</x:f>
        <x:v>3.8629383892759175</x:v>
      </x:c>
    </x:row>
    <x:row r="105" ht="22" customHeight="1">
      <x:c r="A105" s="20" t="d">
        <x:v>2018-11-01T00:00:00.000Z</x:v>
      </x:c>
      <x:c r="B105" s="19" t="n">
        <x:f>200*('Месяцы_товары'!C125-'Месяцы_товары'!C113)/('Месяцы_товары'!C125+'Месяцы_товары'!C113)</x:f>
        <x:v>-3.3738675052136347</x:v>
      </x:c>
      <x:c r="C105" s="19" t="n">
        <x:f>200*('Месяцы_товары'!D125-'Месяцы_товары'!D113)/('Месяцы_товары'!D125+'Месяцы_товары'!D113)</x:f>
        <x:v>5.342238710299873</x:v>
      </x:c>
      <x:c r="D105" s="19" t="n">
        <x:f>200*('Месяцы_товары'!E125-'Месяцы_товары'!E113)/('Месяцы_товары'!E125+'Месяцы_товары'!E113)</x:f>
        <x:v>8.330188912124301</x:v>
      </x:c>
      <x:c r="E105" s="19" t="n">
        <x:f>200*('Месяцы_товары'!F125-'Месяцы_товары'!F113)/('Месяцы_товары'!F125+'Месяцы_товары'!F113)</x:f>
        <x:v>-5.226919644707297</x:v>
      </x:c>
    </x:row>
    <x:row r="106" ht="22" customHeight="1">
      <x:c r="A106" s="20" t="d">
        <x:v>2018-12-01T00:00:00.000Z</x:v>
      </x:c>
      <x:c r="B106" s="19" t="n">
        <x:f>200*('Месяцы_товары'!C126-'Месяцы_товары'!C114)/('Месяцы_товары'!C126+'Месяцы_товары'!C114)</x:f>
        <x:v>-9.21082925642601</x:v>
      </x:c>
      <x:c r="C106" s="19" t="n">
        <x:f>200*('Месяцы_товары'!D126-'Месяцы_товары'!D114)/('Месяцы_товары'!D126+'Месяцы_товары'!D114)</x:f>
        <x:v>-27.06647862932943</x:v>
      </x:c>
      <x:c r="D106" s="19" t="n">
        <x:f>200*('Месяцы_товары'!E126-'Месяцы_товары'!E114)/('Месяцы_товары'!E126+'Месяцы_товары'!E114)</x:f>
        <x:v>25.96894402044272</x:v>
      </x:c>
      <x:c r="E106" s="19" t="n">
        <x:f>200*('Месяцы_товары'!F126-'Месяцы_товары'!F114)/('Месяцы_товары'!F126+'Месяцы_товары'!F114)</x:f>
        <x:v>28.31700880432264</x:v>
      </x:c>
    </x:row>
    <x:row r="107" ht="22" customHeight="1">
      <x:c r="A107" s="20" t="d">
        <x:v>2019-01-01T00:00:00.000Z</x:v>
      </x:c>
      <x:c r="B107" s="19" t="n">
        <x:f>200*('Месяцы_товары'!C127-'Месяцы_товары'!C115)/('Месяцы_товары'!C127+'Месяцы_товары'!C115)</x:f>
        <x:v>-4.731213250565708</x:v>
      </x:c>
      <x:c r="C107" s="19" t="n">
        <x:f>200*('Месяцы_товары'!D127-'Месяцы_товары'!D115)/('Месяцы_товары'!D127+'Месяцы_товары'!D115)</x:f>
        <x:v>-43.46723888243904</x:v>
      </x:c>
      <x:c r="D107" s="19" t="n">
        <x:f>200*('Месяцы_товары'!E127-'Месяцы_товары'!E115)/('Месяцы_товары'!E127+'Месяцы_товары'!E115)</x:f>
        <x:v>31.519707648898756</x:v>
      </x:c>
      <x:c r="E107" s="19" t="n">
        <x:f>200*('Месяцы_товары'!F127-'Месяцы_товары'!F115)/('Месяцы_товары'!F127+'Месяцы_товары'!F115)</x:f>
        <x:v>-18.150077071530074</x:v>
      </x:c>
    </x:row>
    <x:row r="108" ht="22" customHeight="1">
      <x:c r="A108" s="20" t="d">
        <x:v>2019-02-01T00:00:00.000Z</x:v>
      </x:c>
      <x:c r="B108" s="19" t="n">
        <x:f>200*('Месяцы_товары'!C128-'Месяцы_товары'!C116)/('Месяцы_товары'!C128+'Месяцы_товары'!C116)</x:f>
        <x:v>-5.5118968883032275</x:v>
      </x:c>
      <x:c r="C108" s="19" t="n">
        <x:f>200*('Месяцы_товары'!D128-'Месяцы_товары'!D116)/('Месяцы_товары'!D128+'Месяцы_товары'!D116)</x:f>
        <x:v>-44.10773666582509</x:v>
      </x:c>
      <x:c r="D108" s="19" t="n">
        <x:f>200*('Месяцы_товары'!E128-'Месяцы_товары'!E116)/('Месяцы_товары'!E128+'Месяцы_товары'!E116)</x:f>
        <x:v>17.78455855149886</x:v>
      </x:c>
      <x:c r="E108" s="19" t="n">
        <x:f>200*('Месяцы_товары'!F128-'Месяцы_товары'!F116)/('Месяцы_товары'!F128+'Месяцы_товары'!F116)</x:f>
        <x:v>-10.368405914372175</x:v>
      </x:c>
    </x:row>
    <x:row r="109" ht="22" customHeight="1">
      <x:c r="A109" s="20" t="d">
        <x:v>2019-03-01T00:00:00.000Z</x:v>
      </x:c>
      <x:c r="B109" s="19" t="n">
        <x:f>200*('Месяцы_товары'!C129-'Месяцы_товары'!C117)/('Месяцы_товары'!C129+'Месяцы_товары'!C117)</x:f>
        <x:v>-13.703612069691806</x:v>
      </x:c>
      <x:c r="C109" s="19" t="n">
        <x:f>200*('Месяцы_товары'!D129-'Месяцы_товары'!D117)/('Месяцы_товары'!D129+'Месяцы_товары'!D117)</x:f>
        <x:v>-30.30991100887327</x:v>
      </x:c>
      <x:c r="D109" s="19" t="n">
        <x:f>200*('Месяцы_товары'!E129-'Месяцы_товары'!E117)/('Месяцы_товары'!E129+'Месяцы_товары'!E117)</x:f>
        <x:v>51.979236133053604</x:v>
      </x:c>
      <x:c r="E109" s="19" t="n">
        <x:f>200*('Месяцы_товары'!F129-'Месяцы_товары'!F117)/('Месяцы_товары'!F129+'Месяцы_товары'!F117)</x:f>
        <x:v>5.311008123853623</x:v>
      </x:c>
    </x:row>
    <x:row r="110" ht="22" customHeight="1">
      <x:c r="A110" s="20" t="d">
        <x:v>2019-04-01T00:00:00.000Z</x:v>
      </x:c>
      <x:c r="B110" s="19" t="n">
        <x:f>200*('Месяцы_товары'!C130-'Месяцы_товары'!C118)/('Месяцы_товары'!C130+'Месяцы_товары'!C118)</x:f>
        <x:v>-17.25373013036563</x:v>
      </x:c>
      <x:c r="C110" s="19" t="n">
        <x:f>200*('Месяцы_товары'!D130-'Месяцы_товары'!D118)/('Месяцы_товары'!D130+'Месяцы_товары'!D118)</x:f>
        <x:v>-22.937926512316853</x:v>
      </x:c>
      <x:c r="D110" s="19" t="n">
        <x:f>200*('Месяцы_товары'!E130-'Месяцы_товары'!E118)/('Месяцы_товары'!E130+'Месяцы_товары'!E118)</x:f>
        <x:v>-21.2290163921529</x:v>
      </x:c>
      <x:c r="E110" s="19" t="n">
        <x:f>200*('Месяцы_товары'!F130-'Месяцы_товары'!F118)/('Месяцы_товары'!F130+'Месяцы_товары'!F118)</x:f>
        <x:v>35.56098014002341</x:v>
      </x:c>
    </x:row>
    <x:row r="111" ht="22" customHeight="1">
      <x:c r="A111" s="20" t="d">
        <x:v>2019-05-01T00:00:00.000Z</x:v>
      </x:c>
      <x:c r="B111" s="19" t="n">
        <x:f>200*('Месяцы_товары'!C131-'Месяцы_товары'!C119)/('Месяцы_товары'!C131+'Месяцы_товары'!C119)</x:f>
        <x:v>-19.31538043093722</x:v>
      </x:c>
      <x:c r="C111" s="19" t="n">
        <x:f>200*('Месяцы_товары'!D131-'Месяцы_товары'!D119)/('Месяцы_товары'!D131+'Месяцы_товары'!D119)</x:f>
        <x:v>-49.8759590510805</x:v>
      </x:c>
      <x:c r="D111" s="19" t="n">
        <x:f>200*('Месяцы_товары'!E131-'Месяцы_товары'!E119)/('Месяцы_товары'!E131+'Месяцы_товары'!E119)</x:f>
        <x:v>-60.329967927939386</x:v>
      </x:c>
      <x:c r="E111" s="19" t="n">
        <x:f>200*('Месяцы_товары'!F131-'Месяцы_товары'!F119)/('Месяцы_товары'!F131+'Месяцы_товары'!F119)</x:f>
        <x:v>11.380403604771598</x:v>
      </x:c>
    </x:row>
    <x:row r="112" ht="22" customHeight="1">
      <x:c r="A112" s="20" t="d">
        <x:v>2019-06-01T00:00:00.000Z</x:v>
      </x:c>
      <x:c r="B112" s="19" t="n">
        <x:f>200*('Месяцы_товары'!C132-'Месяцы_товары'!C120)/('Месяцы_товары'!C132+'Месяцы_товары'!C120)</x:f>
        <x:v>-10.23530232217467</x:v>
      </x:c>
      <x:c r="C112" s="19" t="n">
        <x:f>200*('Месяцы_товары'!D132-'Месяцы_товары'!D120)/('Месяцы_товары'!D132+'Месяцы_товары'!D120)</x:f>
        <x:v>-40.143072230236854</x:v>
      </x:c>
      <x:c r="D112" s="19" t="n">
        <x:f>200*('Месяцы_товары'!E132-'Месяцы_товары'!E120)/('Месяцы_товары'!E132+'Месяцы_товары'!E120)</x:f>
        <x:v>-32.045723391850814</x:v>
      </x:c>
      <x:c r="E112" s="19" t="n">
        <x:f>200*('Месяцы_товары'!F132-'Месяцы_товары'!F120)/('Месяцы_товары'!F132+'Месяцы_товары'!F120)</x:f>
        <x:v>18.725766477768158</x:v>
      </x:c>
    </x:row>
    <x:row r="113" ht="22" customHeight="1">
      <x:c r="A113" s="20" t="d">
        <x:v>2019-07-01T00:00:00.000Z</x:v>
      </x:c>
      <x:c r="B113" s="19" t="n">
        <x:f>200*('Месяцы_товары'!C133-'Месяцы_товары'!C121)/('Месяцы_товары'!C133+'Месяцы_товары'!C121)</x:f>
        <x:v>-3.8758687248464767</x:v>
      </x:c>
      <x:c r="C113" s="19" t="n">
        <x:f>200*('Месяцы_товары'!D133-'Месяцы_товары'!D121)/('Месяцы_товары'!D133+'Месяцы_товары'!D121)</x:f>
        <x:v>-48.255558730146326</x:v>
      </x:c>
      <x:c r="D113" s="19" t="n">
        <x:f>200*('Месяцы_товары'!E133-'Месяцы_товары'!E121)/('Месяцы_товары'!E133+'Месяцы_товары'!E121)</x:f>
        <x:v>21.951637215461272</x:v>
      </x:c>
      <x:c r="E113" s="19" t="n">
        <x:f>200*('Месяцы_товары'!F133-'Месяцы_товары'!F121)/('Месяцы_товары'!F133+'Месяцы_товары'!F121)</x:f>
        <x:v>8.15454611620212</x:v>
      </x:c>
    </x:row>
    <x:row r="114" ht="22" customHeight="1">
      <x:c r="A114" s="20" t="d">
        <x:v>2019-08-01T00:00:00.000Z</x:v>
      </x:c>
      <x:c r="B114" s="19" t="n">
        <x:f>200*('Месяцы_товары'!C134-'Месяцы_товары'!C122)/('Месяцы_товары'!C134+'Месяцы_товары'!C122)</x:f>
        <x:v>-3.271435072499663</x:v>
      </x:c>
      <x:c r="C114" s="19" t="n">
        <x:f>200*('Месяцы_товары'!D134-'Месяцы_товары'!D122)/('Месяцы_товары'!D134+'Месяцы_товары'!D122)</x:f>
        <x:v>-53.876840450941586</x:v>
      </x:c>
      <x:c r="D114" s="19" t="n">
        <x:f>200*('Месяцы_товары'!E134-'Месяцы_товары'!E122)/('Месяцы_товары'!E134+'Месяцы_товары'!E122)</x:f>
        <x:v>35.99803010766506</x:v>
      </x:c>
      <x:c r="E114" s="19" t="n">
        <x:f>200*('Месяцы_товары'!F134-'Месяцы_товары'!F122)/('Месяцы_товары'!F134+'Месяцы_товары'!F122)</x:f>
        <x:v>7.305297389497212</x:v>
      </x:c>
    </x:row>
    <x:row r="115" ht="22" customHeight="1">
      <x:c r="A115" s="20" t="d">
        <x:v>2019-09-01T00:00:00.000Z</x:v>
      </x:c>
      <x:c r="B115" s="19" t="n">
        <x:f>200*('Месяцы_товары'!C135-'Месяцы_товары'!C123)/('Месяцы_товары'!C135+'Месяцы_товары'!C123)</x:f>
        <x:v>4.316783581144983</x:v>
      </x:c>
      <x:c r="C115" s="19" t="n">
        <x:f>200*('Месяцы_товары'!D135-'Месяцы_товары'!D123)/('Месяцы_товары'!D135+'Месяцы_товары'!D123)</x:f>
        <x:v>-58.84633897599719</x:v>
      </x:c>
      <x:c r="D115" s="19" t="n">
        <x:f>200*('Месяцы_товары'!E135-'Месяцы_товары'!E123)/('Месяцы_товары'!E135+'Месяцы_товары'!E123)</x:f>
        <x:v>67.91784394420895</x:v>
      </x:c>
      <x:c r="E115" s="19" t="n">
        <x:f>200*('Месяцы_товары'!F135-'Месяцы_товары'!F123)/('Месяцы_товары'!F135+'Месяцы_товары'!F123)</x:f>
        <x:v>14.79138353270697</x:v>
      </x:c>
    </x:row>
    <x:row r="116" ht="22" customHeight="1">
      <x:c r="A116" s="20" t="d">
        <x:v>2019-10-01T00:00:00.000Z</x:v>
      </x:c>
      <x:c r="B116" s="19" t="n">
        <x:f>200*('Месяцы_товары'!C136-'Месяцы_товары'!C124)/('Месяцы_товары'!C136+'Месяцы_товары'!C124)</x:f>
        <x:v>0.04046135114641857</x:v>
      </x:c>
      <x:c r="C116" s="19" t="n">
        <x:f>200*('Месяцы_товары'!D136-'Месяцы_товары'!D124)/('Месяцы_товары'!D136+'Месяцы_товары'!D124)</x:f>
        <x:v>-59.04311520319247</x:v>
      </x:c>
      <x:c r="D116" s="19" t="n">
        <x:f>200*('Месяцы_товары'!E136-'Месяцы_товары'!E124)/('Месяцы_товары'!E136+'Месяцы_товары'!E124)</x:f>
        <x:v>111.55779240529574</x:v>
      </x:c>
      <x:c r="E116" s="19" t="n">
        <x:f>200*('Месяцы_товары'!F136-'Месяцы_товары'!F124)/('Месяцы_товары'!F136+'Месяцы_товары'!F124)</x:f>
        <x:v>33.05588225110322</x:v>
      </x:c>
    </x:row>
    <x:row r="117" ht="22" customHeight="1">
      <x:c r="A117" s="20" t="d">
        <x:v>2019-11-01T00:00:00.000Z</x:v>
      </x:c>
      <x:c r="B117" s="19" t="n">
        <x:f>200*('Месяцы_товары'!C137-'Месяцы_товары'!C125)/('Месяцы_товары'!C137+'Месяцы_товары'!C125)</x:f>
        <x:v>-8.102350139446555</x:v>
      </x:c>
      <x:c r="C117" s="19" t="n">
        <x:f>200*('Месяцы_товары'!D137-'Месяцы_товары'!D125)/('Месяцы_товары'!D137+'Месяцы_товары'!D125)</x:f>
        <x:v>-47.93464974920325</x:v>
      </x:c>
      <x:c r="D117" s="19" t="n">
        <x:f>200*('Месяцы_товары'!E137-'Месяцы_товары'!E125)/('Месяцы_товары'!E137+'Месяцы_товары'!E125)</x:f>
        <x:v>108.57803903633257</x:v>
      </x:c>
      <x:c r="E117" s="19" t="n">
        <x:f>200*('Месяцы_товары'!F137-'Месяцы_товары'!F125)/('Месяцы_товары'!F137+'Месяцы_товары'!F125)</x:f>
        <x:v>27.663543966896142</x:v>
      </x:c>
    </x:row>
    <x:row r="118" ht="22" customHeight="1">
      <x:c r="A118" s="20" t="d">
        <x:v>2019-12-01T00:00:00.000Z</x:v>
      </x:c>
      <x:c r="B118" s="19" t="n">
        <x:f>200*('Месяцы_товары'!C138-'Месяцы_товары'!C126)/('Месяцы_товары'!C138+'Месяцы_товары'!C126)</x:f>
        <x:v>-0.7779571018853877</x:v>
      </x:c>
      <x:c r="C118" s="19" t="n">
        <x:f>200*('Месяцы_товары'!D138-'Месяцы_товары'!D126)/('Месяцы_товары'!D138+'Месяцы_товары'!D126)</x:f>
        <x:v>-21.14058450084929</x:v>
      </x:c>
      <x:c r="D118" s="19" t="n">
        <x:f>200*('Месяцы_товары'!E138-'Месяцы_товары'!E126)/('Месяцы_товары'!E138+'Месяцы_товары'!E126)</x:f>
        <x:v>78.05904777276588</x:v>
      </x:c>
      <x:c r="E118" s="19" t="n">
        <x:f>200*('Месяцы_товары'!F138-'Месяцы_товары'!F126)/('Месяцы_товары'!F138+'Месяцы_товары'!F126)</x:f>
        <x:v>9.149931493963107</x:v>
      </x:c>
    </x:row>
    <x:row r="119" ht="22" customHeight="1">
      <x:c r="A119" s="20" t="d">
        <x:v>2020-01-01T00:00:00.000Z</x:v>
      </x:c>
      <x:c r="B119" s="19" t="n">
        <x:f>200*('Месяцы_товары'!C139-'Месяцы_товары'!C127)/('Месяцы_товары'!C139+'Месяцы_товары'!C127)</x:f>
        <x:v>4.561695486655372</x:v>
      </x:c>
      <x:c r="C119" s="19" t="n">
        <x:f>200*('Месяцы_товары'!D139-'Месяцы_товары'!D127)/('Месяцы_товары'!D139+'Месяцы_товары'!D127)</x:f>
        <x:v>-10.877796206995217</x:v>
      </x:c>
      <x:c r="D119" s="19" t="n">
        <x:f>200*('Месяцы_товары'!E139-'Месяцы_товары'!E127)/('Месяцы_товары'!E139+'Месяцы_товары'!E127)</x:f>
        <x:v>36.7230587689171</x:v>
      </x:c>
      <x:c r="E119" s="19" t="n">
        <x:f>200*('Месяцы_товары'!F139-'Месяцы_товары'!F127)/('Месяцы_товары'!F139+'Месяцы_товары'!F127)</x:f>
        <x:v>62.49206970273524</x:v>
      </x:c>
    </x:row>
    <x:row r="120" ht="22" customHeight="1">
      <x:c r="A120" s="20" t="d">
        <x:v>2020-02-01T00:00:00.000Z</x:v>
      </x:c>
      <x:c r="B120" s="19" t="n">
        <x:f>200*('Месяцы_товары'!C140-'Месяцы_товары'!C128)/('Месяцы_товары'!C140+'Месяцы_товары'!C128)</x:f>
        <x:v>13.149907174501921</x:v>
      </x:c>
      <x:c r="C120" s="19" t="n">
        <x:f>200*('Месяцы_товары'!D140-'Месяцы_товары'!D128)/('Месяцы_товары'!D140+'Месяцы_товары'!D128)</x:f>
        <x:v>1.3878020572494423</x:v>
      </x:c>
      <x:c r="D120" s="19" t="n">
        <x:f>200*('Месяцы_товары'!E140-'Месяцы_товары'!E128)/('Месяцы_товары'!E140+'Месяцы_товары'!E128)</x:f>
        <x:v>74.90328616956052</x:v>
      </x:c>
      <x:c r="E120" s="19" t="n">
        <x:f>200*('Месяцы_товары'!F140-'Месяцы_товары'!F128)/('Месяцы_товары'!F140+'Месяцы_товары'!F128)</x:f>
        <x:v>67.71836447230714</x:v>
      </x:c>
    </x:row>
    <x:row r="121" ht="22" customHeight="1">
      <x:c r="A121" s="20" t="d">
        <x:v>2020-03-01T00:00:00.000Z</x:v>
      </x:c>
      <x:c r="B121" s="19" t="n">
        <x:f>200*('Месяцы_товары'!C141-'Месяцы_товары'!C129)/('Месяцы_товары'!C141+'Месяцы_товары'!C129)</x:f>
        <x:v>26.542303489892216</x:v>
      </x:c>
      <x:c r="C121" s="19" t="n">
        <x:f>200*('Месяцы_товары'!D141-'Месяцы_товары'!D129)/('Месяцы_товары'!D141+'Месяцы_товары'!D129)</x:f>
        <x:v>-18.319611239848424</x:v>
      </x:c>
      <x:c r="D121" s="19" t="n">
        <x:f>200*('Месяцы_товары'!E141-'Месяцы_товары'!E129)/('Месяцы_товары'!E141+'Месяцы_товары'!E129)</x:f>
        <x:v>8.975664124183536</x:v>
      </x:c>
      <x:c r="E121" s="19" t="n">
        <x:f>200*('Месяцы_товары'!F141-'Месяцы_товары'!F129)/('Месяцы_товары'!F141+'Месяцы_товары'!F129)</x:f>
        <x:v>35.280096987994</x:v>
      </x:c>
    </x:row>
    <x:row r="122" ht="22" customHeight="1">
      <x:c r="A122" s="20" t="d">
        <x:v>2020-04-01T00:00:00.000Z</x:v>
      </x:c>
      <x:c r="B122" s="19" t="n">
        <x:f>200*('Месяцы_товары'!C142-'Месяцы_товары'!C130)/('Месяцы_товары'!C142+'Месяцы_товары'!C130)</x:f>
        <x:v>-11.294898705570487</x:v>
      </x:c>
      <x:c r="C122" s="19" t="n">
        <x:f>200*('Месяцы_товары'!D142-'Месяцы_товары'!D130)/('Месяцы_товары'!D142+'Месяцы_товары'!D130)</x:f>
        <x:v>-25.250451708356774</x:v>
      </x:c>
      <x:c r="D122" s="19" t="n">
        <x:f>200*('Месяцы_товары'!E142-'Месяцы_товары'!E130)/('Месяцы_товары'!E142+'Месяцы_товары'!E130)</x:f>
        <x:v>-12.695559621308858</x:v>
      </x:c>
      <x:c r="E122" s="19" t="n">
        <x:f>200*('Месяцы_товары'!F142-'Месяцы_товары'!F130)/('Месяцы_товары'!F142+'Месяцы_товары'!F130)</x:f>
        <x:v>-22.42528739569825</x:v>
      </x:c>
    </x:row>
    <x:row r="123" ht="22" customHeight="1">
      <x:c r="A123" s="20" t="d">
        <x:v>2020-05-01T00:00:00.000Z</x:v>
      </x:c>
      <x:c r="B123" s="19" t="n">
        <x:f>200*('Месяцы_товары'!C143-'Месяцы_товары'!C131)/('Месяцы_товары'!C143+'Месяцы_товары'!C131)</x:f>
        <x:v>5.933745235803348</x:v>
      </x:c>
      <x:c r="C123" s="19" t="n">
        <x:f>200*('Месяцы_товары'!D143-'Месяцы_товары'!D131)/('Месяцы_товары'!D143+'Месяцы_товары'!D131)</x:f>
        <x:v>6.520212144226051</x:v>
      </x:c>
      <x:c r="D123" s="19" t="n">
        <x:f>200*('Месяцы_товары'!E143-'Месяцы_товары'!E131)/('Месяцы_товары'!E143+'Месяцы_товары'!E131)</x:f>
        <x:v>19.51651099501432</x:v>
      </x:c>
      <x:c r="E123" s="19" t="n">
        <x:f>200*('Месяцы_товары'!F143-'Месяцы_товары'!F131)/('Месяцы_товары'!F143+'Месяцы_товары'!F131)</x:f>
        <x:v>2.7254989274288373</x:v>
      </x:c>
    </x:row>
    <x:row r="124" ht="22" customHeight="1">
      <x:c r="A124" s="20" t="d">
        <x:v>2020-06-01T00:00:00.000Z</x:v>
      </x:c>
      <x:c r="B124" s="19" t="n">
        <x:f>200*('Месяцы_товары'!C144-'Месяцы_товары'!C132)/('Месяцы_товары'!C144+'Месяцы_товары'!C132)</x:f>
        <x:v>4.9287849360070535</x:v>
      </x:c>
      <x:c r="C124" s="19" t="n">
        <x:f>200*('Месяцы_товары'!D144-'Месяцы_товары'!D132)/('Месяцы_товары'!D144+'Месяцы_товары'!D132)</x:f>
        <x:v>-9.220450761458906</x:v>
      </x:c>
      <x:c r="D124" s="19" t="n">
        <x:f>200*('Месяцы_товары'!E144-'Месяцы_товары'!E132)/('Месяцы_товары'!E144+'Месяцы_товары'!E132)</x:f>
        <x:v>75.39078345830606</x:v>
      </x:c>
      <x:c r="E124" s="19" t="n">
        <x:f>200*('Месяцы_товары'!F144-'Месяцы_товары'!F132)/('Месяцы_товары'!F144+'Месяцы_товары'!F132)</x:f>
        <x:v>12.03130388752462</x:v>
      </x:c>
    </x:row>
    <x:row r="125" ht="22" customHeight="1">
      <x:c r="A125" s="20" t="d">
        <x:v>2020-07-01T00:00:00.000Z</x:v>
      </x:c>
      <x:c r="B125" s="19" t="n">
        <x:f>200*('Месяцы_товары'!C145-'Месяцы_товары'!C133)/('Месяцы_товары'!C145+'Месяцы_товары'!C133)</x:f>
        <x:v>5.353528499211862</x:v>
      </x:c>
      <x:c r="C125" s="19" t="n">
        <x:f>200*('Месяцы_товары'!D145-'Месяцы_товары'!D133)/('Месяцы_товары'!D145+'Месяцы_товары'!D133)</x:f>
        <x:v>1.2601545874047635</x:v>
      </x:c>
      <x:c r="D125" s="19" t="n">
        <x:f>200*('Месяцы_товары'!E145-'Месяцы_товары'!E133)/('Месяцы_товары'!E145+'Месяцы_товары'!E133)</x:f>
        <x:v>95.67998939264612</x:v>
      </x:c>
      <x:c r="E125" s="19" t="n">
        <x:f>200*('Месяцы_товары'!F145-'Месяцы_товары'!F133)/('Месяцы_товары'!F145+'Месяцы_товары'!F133)</x:f>
        <x:v>16.706344175433234</x:v>
      </x:c>
    </x:row>
    <x:row r="126" ht="22" customHeight="1">
      <x:c r="A126" s="20" t="d">
        <x:v>2020-08-01T00:00:00.000Z</x:v>
      </x:c>
      <x:c r="B126" s="19" t="n">
        <x:f>200*('Месяцы_товары'!C146-'Месяцы_товары'!C134)/('Месяцы_товары'!C146+'Месяцы_товары'!C134)</x:f>
        <x:v>12.66878020483486</x:v>
      </x:c>
      <x:c r="C126" s="19" t="n">
        <x:f>200*('Месяцы_товары'!D146-'Месяцы_товары'!D134)/('Месяцы_товары'!D146+'Месяцы_товары'!D134)</x:f>
        <x:v>-3.0468510365207386</x:v>
      </x:c>
      <x:c r="D126" s="19" t="n">
        <x:f>200*('Месяцы_товары'!E146-'Месяцы_товары'!E134)/('Месяцы_товары'!E146+'Месяцы_товары'!E134)</x:f>
        <x:v>53.996160832621754</x:v>
      </x:c>
      <x:c r="E126" s="19" t="n">
        <x:f>200*('Месяцы_товары'!F146-'Месяцы_товары'!F134)/('Месяцы_товары'!F146+'Месяцы_товары'!F134)</x:f>
        <x:v>22.685754321159</x:v>
      </x:c>
    </x:row>
    <x:row r="127" ht="22" customHeight="1">
      <x:c r="A127" s="20" t="d">
        <x:v>2020-09-01T00:00:00.000Z</x:v>
      </x:c>
      <x:c r="B127" s="19" t="n">
        <x:f>200*('Месяцы_товары'!C147-'Месяцы_товары'!C135)/('Месяцы_товары'!C147+'Месяцы_товары'!C135)</x:f>
        <x:v>9.862852984280527</x:v>
      </x:c>
      <x:c r="C127" s="19" t="n">
        <x:f>200*('Месяцы_товары'!D147-'Месяцы_товары'!D135)/('Месяцы_товары'!D147+'Месяцы_товары'!D135)</x:f>
        <x:v>5.024326993970049</x:v>
      </x:c>
      <x:c r="D127" s="19" t="n">
        <x:f>200*('Месяцы_товары'!E147-'Месяцы_товары'!E135)/('Месяцы_товары'!E147+'Месяцы_товары'!E135)</x:f>
        <x:v>80.02636428835801</x:v>
      </x:c>
      <x:c r="E127" s="19" t="n">
        <x:f>200*('Месяцы_товары'!F147-'Месяцы_товары'!F135)/('Месяцы_товары'!F147+'Месяцы_товары'!F135)</x:f>
        <x:v>35.41958642546314</x:v>
      </x:c>
    </x:row>
    <x:row r="128" ht="22" customHeight="1">
      <x:c r="A128" s="20" t="d">
        <x:v>2020-10-01T00:00:00.000Z</x:v>
      </x:c>
      <x:c r="B128" s="19" t="n">
        <x:f>200*('Месяцы_товары'!C148-'Месяцы_товары'!C136)/('Месяцы_товары'!C148+'Месяцы_товары'!C136)</x:f>
        <x:v>8.59195598362178</x:v>
      </x:c>
      <x:c r="C128" s="19" t="n">
        <x:f>200*('Месяцы_товары'!D148-'Месяцы_товары'!D136)/('Месяцы_товары'!D148+'Месяцы_товары'!D136)</x:f>
        <x:v>9.462529701000179</x:v>
      </x:c>
      <x:c r="D128" s="19" t="n">
        <x:f>200*('Месяцы_товары'!E148-'Месяцы_товары'!E136)/('Месяцы_товары'!E148+'Месяцы_товары'!E136)</x:f>
        <x:v>-68.30231145115485</x:v>
      </x:c>
      <x:c r="E128" s="19" t="n">
        <x:f>200*('Месяцы_товары'!F148-'Месяцы_товары'!F136)/('Месяцы_товары'!F148+'Месяцы_товары'!F136)</x:f>
        <x:v>33.42595872484478</x:v>
      </x:c>
    </x:row>
    <x:row r="129" ht="22" customHeight="1">
      <x:c r="A129" s="20" t="d">
        <x:v>2020-11-01T00:00:00.000Z</x:v>
      </x:c>
      <x:c r="B129" s="19" t="n">
        <x:f>200*('Месяцы_товары'!C149-'Месяцы_товары'!C137)/('Месяцы_товары'!C149+'Месяцы_товары'!C137)</x:f>
        <x:v>29.77219314080485</x:v>
      </x:c>
      <x:c r="C129" s="19" t="n">
        <x:f>200*('Месяцы_товары'!D149-'Месяцы_товары'!D137)/('Месяцы_товары'!D149+'Месяцы_товары'!D137)</x:f>
        <x:v>7.455180411458415</x:v>
      </x:c>
      <x:c r="D129" s="19" t="n">
        <x:f>200*('Месяцы_товары'!E149-'Месяцы_товары'!E137)/('Месяцы_товары'!E149+'Месяцы_товары'!E137)</x:f>
        <x:v>-20.1454926105927</x:v>
      </x:c>
      <x:c r="E129" s="19" t="n">
        <x:f>200*('Месяцы_товары'!F149-'Месяцы_товары'!F137)/('Месяцы_товары'!F149+'Месяцы_товары'!F137)</x:f>
        <x:v>44.79471440210811</x:v>
      </x:c>
    </x:row>
    <x:row r="130" ht="22" customHeight="1">
      <x:c r="A130" s="20" t="d">
        <x:v>2020-12-01T00:00:00.000Z</x:v>
      </x:c>
      <x:c r="B130" s="19" t="n">
        <x:f>200*('Месяцы_товары'!C150-'Месяцы_товары'!C138)/('Месяцы_товары'!C150+'Месяцы_товары'!C138)</x:f>
        <x:v>35.861446470412204</x:v>
      </x:c>
      <x:c r="C130" s="19" t="n">
        <x:f>200*('Месяцы_товары'!D150-'Месяцы_товары'!D138)/('Месяцы_товары'!D150+'Месяцы_товары'!D138)</x:f>
        <x:v>19.074576688451966</x:v>
      </x:c>
      <x:c r="D130" s="19" t="n">
        <x:f>200*('Месяцы_товары'!E150-'Месяцы_товары'!E138)/('Месяцы_товары'!E150+'Месяцы_товары'!E138)</x:f>
        <x:v>15.964990107747308</x:v>
      </x:c>
      <x:c r="E130" s="19" t="n">
        <x:f>200*('Месяцы_товары'!F150-'Месяцы_товары'!F138)/('Месяцы_товары'!F150+'Месяцы_товары'!F138)</x:f>
        <x:v>40.49238490538481</x:v>
      </x:c>
    </x:row>
    <x:row r="131" ht="22" customHeight="1">
      <x:c r="A131" s="20" t="d">
        <x:v>2021-01-01T00:00:00.000Z</x:v>
      </x:c>
      <x:c r="B131" s="19" t="n">
        <x:f>200*('Месяцы_товары'!C151-'Месяцы_товары'!C139)/('Месяцы_товары'!C151+'Месяцы_товары'!C139)</x:f>
        <x:v>15.678437362203848</x:v>
      </x:c>
      <x:c r="C131" s="19" t="n">
        <x:f>200*('Месяцы_товары'!D151-'Месяцы_товары'!D139)/('Месяцы_товары'!D151+'Месяцы_товары'!D139)</x:f>
        <x:v>21.103113418506492</x:v>
      </x:c>
      <x:c r="D131" s="19" t="n">
        <x:f>200*('Месяцы_товары'!E151-'Месяцы_товары'!E139)/('Месяцы_товары'!E151+'Месяцы_товары'!E139)</x:f>
        <x:v>12.815779799399616</x:v>
      </x:c>
      <x:c r="E131" s="19" t="n">
        <x:f>200*('Месяцы_товары'!F151-'Месяцы_товары'!F139)/('Месяцы_товары'!F151+'Месяцы_товары'!F139)</x:f>
        <x:v>11.158909468363596</x:v>
      </x:c>
    </x:row>
    <x:row r="132" ht="22" customHeight="1">
      <x:c r="A132" s="20" t="d">
        <x:v>2021-02-01T00:00:00.000Z</x:v>
      </x:c>
      <x:c r="B132" s="19" t="n">
        <x:f>200*('Месяцы_товары'!C152-'Месяцы_товары'!C140)/('Месяцы_товары'!C152+'Месяцы_товары'!C140)</x:f>
        <x:v>14.924343278575607</x:v>
      </x:c>
      <x:c r="C132" s="19" t="n">
        <x:f>200*('Месяцы_товары'!D152-'Месяцы_товары'!D140)/('Месяцы_товары'!D152+'Месяцы_товары'!D140)</x:f>
        <x:v>14.664247796884908</x:v>
      </x:c>
      <x:c r="D132" s="19" t="n">
        <x:f>200*('Месяцы_товары'!E152-'Месяцы_товары'!E140)/('Месяцы_товары'!E152+'Месяцы_товары'!E140)</x:f>
        <x:v>33.75456039990461</x:v>
      </x:c>
      <x:c r="E132" s="19" t="n">
        <x:f>200*('Месяцы_товары'!F152-'Месяцы_товары'!F140)/('Месяцы_товары'!F152+'Месяцы_товары'!F140)</x:f>
        <x:v>3.4301233274271863</x:v>
      </x:c>
    </x:row>
    <x:row r="133" ht="22" customHeight="1">
      <x:c r="A133" s="20" t="d">
        <x:v>2021-03-01T00:00:00.000Z</x:v>
      </x:c>
      <x:c r="B133" s="19" t="n">
        <x:f>200*('Месяцы_товары'!C153-'Месяцы_товары'!C141)/('Месяцы_товары'!C153+'Месяцы_товары'!C141)</x:f>
        <x:v>4.067238641290956</x:v>
      </x:c>
      <x:c r="C133" s="19" t="n">
        <x:f>200*('Месяцы_товары'!D153-'Месяцы_товары'!D141)/('Месяцы_товары'!D153+'Месяцы_товары'!D141)</x:f>
        <x:v>13.65158623045699</x:v>
      </x:c>
      <x:c r="D133" s="19" t="n">
        <x:f>200*('Месяцы_товары'!E153-'Месяцы_товары'!E141)/('Месяцы_товары'!E153+'Месяцы_товары'!E141)</x:f>
        <x:v>32.16282118981951</x:v>
      </x:c>
      <x:c r="E133" s="19" t="n">
        <x:f>200*('Месяцы_товары'!F153-'Месяцы_товары'!F141)/('Месяцы_товары'!F153+'Месяцы_товары'!F141)</x:f>
        <x:v>25.966824365601433</x:v>
      </x:c>
    </x:row>
    <x:row r="134" ht="22" customHeight="1">
      <x:c r="A134" s="20" t="d">
        <x:v>2021-04-01T00:00:00.000Z</x:v>
      </x:c>
      <x:c r="B134" s="19" t="n">
        <x:f>200*('Месяцы_товары'!C154-'Месяцы_товары'!C142)/('Месяцы_товары'!C154+'Месяцы_товары'!C142)</x:f>
        <x:v>40.57386937421909</x:v>
      </x:c>
      <x:c r="C134" s="19" t="n">
        <x:f>200*('Месяцы_товары'!D154-'Месяцы_товары'!D142)/('Месяцы_товары'!D154+'Месяцы_товары'!D142)</x:f>
        <x:v>23.94451631436834</x:v>
      </x:c>
      <x:c r="D134" s="19" t="n">
        <x:f>200*('Месяцы_товары'!E154-'Месяцы_товары'!E142)/('Месяцы_товары'!E154+'Месяцы_товары'!E142)</x:f>
        <x:v>107.01988508511208</x:v>
      </x:c>
      <x:c r="E134" s="19" t="n">
        <x:f>200*('Месяцы_товары'!F154-'Месяцы_товары'!F142)/('Месяцы_товары'!F154+'Месяцы_товары'!F142)</x:f>
        <x:v>60.239092541317696</x:v>
      </x:c>
    </x:row>
    <x:row r="135" ht="22" customHeight="1">
      <x:c r="A135" s="20" t="d">
        <x:v>2021-05-01T00:00:00.000Z</x:v>
      </x:c>
      <x:c r="B135" s="19" t="n">
        <x:f>200*('Месяцы_товары'!C155-'Месяцы_товары'!C143)/('Месяцы_товары'!C155+'Месяцы_товары'!C143)</x:f>
        <x:v>38.51383993189273</x:v>
      </x:c>
      <x:c r="C135" s="19" t="n">
        <x:f>200*('Месяцы_товары'!D155-'Месяцы_товары'!D143)/('Месяцы_товары'!D155+'Месяцы_товары'!D143)</x:f>
        <x:v>18.275394996969524</x:v>
      </x:c>
      <x:c r="D135" s="19" t="n">
        <x:f>200*('Месяцы_товары'!E155-'Месяцы_товары'!E143)/('Месяцы_товары'!E155+'Месяцы_товары'!E143)</x:f>
        <x:v>92.70746400510352</x:v>
      </x:c>
      <x:c r="E135" s="19" t="n">
        <x:f>200*('Месяцы_товары'!F155-'Месяцы_товары'!F143)/('Месяцы_товары'!F155+'Месяцы_товары'!F143)</x:f>
        <x:v>61.21326013519581</x:v>
      </x:c>
    </x:row>
    <x:row r="136" ht="22" customHeight="1">
      <x:c r="A136" s="20" t="d">
        <x:v>2021-06-01T00:00:00.000Z</x:v>
      </x:c>
      <x:c r="B136" s="19" t="n">
        <x:f>200*('Месяцы_товары'!C156-'Месяцы_товары'!C144)/('Месяцы_товары'!C156+'Месяцы_товары'!C144)</x:f>
        <x:v>33.716702597985574</x:v>
      </x:c>
      <x:c r="C136" s="19" t="n">
        <x:f>200*('Месяцы_товары'!D156-'Месяцы_товары'!D144)/('Месяцы_товары'!D156+'Месяцы_товары'!D144)</x:f>
        <x:v>32.71289458036724</x:v>
      </x:c>
      <x:c r="D136" s="19" t="n">
        <x:f>200*('Месяцы_товары'!E156-'Месяцы_товары'!E144)/('Месяцы_товары'!E156+'Месяцы_товары'!E144)</x:f>
        <x:v>59.71383131729759</x:v>
      </x:c>
      <x:c r="E136" s="19" t="n">
        <x:f>200*('Месяцы_товары'!F156-'Месяцы_товары'!F144)/('Месяцы_товары'!F156+'Месяцы_товары'!F144)</x:f>
        <x:v>50.17900219830146</x:v>
      </x:c>
    </x:row>
    <x:row r="137" ht="22" customHeight="1">
      <x:c r="A137" s="20" t="d">
        <x:v>2021-07-01T00:00:00.000Z</x:v>
      </x:c>
      <x:c r="B137" s="19" t="n">
        <x:f>200*('Месяцы_товары'!C157-'Месяцы_товары'!C145)/('Месяцы_товары'!C157+'Месяцы_товары'!C145)</x:f>
        <x:v>27.675937596622983</x:v>
      </x:c>
      <x:c r="C137" s="19" t="n">
        <x:f>200*('Месяцы_товары'!D157-'Месяцы_товары'!D145)/('Месяцы_товары'!D157+'Месяцы_товары'!D145)</x:f>
        <x:v>34.63238568505216</x:v>
      </x:c>
      <x:c r="D137" s="19" t="n">
        <x:f>200*('Месяцы_товары'!E157-'Месяцы_товары'!E145)/('Месяцы_товары'!E157+'Месяцы_товары'!E145)</x:f>
        <x:v>100.54119953034346</x:v>
      </x:c>
      <x:c r="E137" s="19" t="n">
        <x:f>200*('Месяцы_товары'!F157-'Месяцы_товары'!F145)/('Месяцы_товары'!F157+'Месяцы_товары'!F145)</x:f>
        <x:v>37.443229553480506</x:v>
      </x:c>
    </x:row>
    <x:row r="138" ht="22" customHeight="1">
      <x:c r="A138" s="20" t="d">
        <x:v>2021-08-01T00:00:00.000Z</x:v>
      </x:c>
      <x:c r="B138" s="19" t="n">
        <x:f>200*('Месяцы_товары'!C158-'Месяцы_товары'!C146)/('Месяцы_товары'!C158+'Месяцы_товары'!C146)</x:f>
        <x:v>25.374757380717345</x:v>
      </x:c>
      <x:c r="C138" s="19" t="n">
        <x:f>200*('Месяцы_товары'!D158-'Месяцы_товары'!D146)/('Месяцы_товары'!D158+'Месяцы_товары'!D146)</x:f>
        <x:v>39.88270566927299</x:v>
      </x:c>
      <x:c r="D138" s="19" t="n">
        <x:f>200*('Месяцы_товары'!E158-'Месяцы_товары'!E146)/('Месяцы_товары'!E158+'Месяцы_товары'!E146)</x:f>
        <x:v>32.68807572403236</x:v>
      </x:c>
      <x:c r="E138" s="19" t="n">
        <x:f>200*('Месяцы_товары'!F158-'Месяцы_товары'!F146)/('Месяцы_товары'!F158+'Месяцы_товары'!F146)</x:f>
        <x:v>32.73643624190932</x:v>
      </x:c>
    </x:row>
    <x:row r="139" ht="22" customHeight="1">
      <x:c r="A139" s="20" t="d">
        <x:v>2021-09-01T00:00:00.000Z</x:v>
      </x:c>
      <x:c r="B139" s="19" t="n">
        <x:f>200*('Месяцы_товары'!C159-'Месяцы_товары'!C147)/('Месяцы_товары'!C159+'Месяцы_товары'!C147)</x:f>
        <x:v>30.347747460113037</x:v>
      </x:c>
      <x:c r="C139" s="19" t="n">
        <x:f>200*('Месяцы_товары'!D159-'Месяцы_товары'!D147)/('Месяцы_товары'!D159+'Месяцы_товары'!D147)</x:f>
        <x:v>30.210685198047287</x:v>
      </x:c>
      <x:c r="D139" s="19" t="n">
        <x:f>200*('Месяцы_товары'!E159-'Месяцы_товары'!E147)/('Месяцы_товары'!E159+'Месяцы_товары'!E147)</x:f>
        <x:v>25.025666712929286</x:v>
      </x:c>
      <x:c r="E139" s="19" t="n">
        <x:f>200*('Месяцы_товары'!F159-'Месяцы_товары'!F147)/('Месяцы_товары'!F159+'Месяцы_товары'!F147)</x:f>
        <x:v>16.81737330735337</x:v>
      </x:c>
    </x:row>
    <x:row r="140" ht="22" customHeight="1">
      <x:c r="A140" s="20" t="d">
        <x:v>2021-10-01T00:00:00.000Z</x:v>
      </x:c>
      <x:c r="B140" s="19" t="n">
        <x:f>200*('Месяцы_товары'!C160-'Месяцы_товары'!C148)/('Месяцы_товары'!C160+'Месяцы_товары'!C148)</x:f>
        <x:v>30.63989300036666</x:v>
      </x:c>
      <x:c r="C140" s="19" t="n">
        <x:f>200*('Месяцы_товары'!D160-'Месяцы_товары'!D148)/('Месяцы_товары'!D160+'Месяцы_товары'!D148)</x:f>
        <x:v>23.796501269649866</x:v>
      </x:c>
      <x:c r="D140" s="19" t="n">
        <x:f>200*('Месяцы_товары'!E160-'Месяцы_товары'!E148)/('Месяцы_товары'!E160+'Месяцы_товары'!E148)</x:f>
        <x:v>92.96167551722722</x:v>
      </x:c>
      <x:c r="E140" s="19" t="n">
        <x:f>200*('Месяцы_товары'!F160-'Месяцы_товары'!F148)/('Месяцы_товары'!F160+'Месяцы_товары'!F148)</x:f>
        <x:v>17.260542824903535</x:v>
      </x:c>
    </x:row>
    <x:row r="141" ht="22" customHeight="1">
      <x:c r="A141" s="20" t="d">
        <x:v>2021-11-01T00:00:00.000Z</x:v>
      </x:c>
      <x:c r="B141" s="19" t="n">
        <x:f>200*('Месяцы_товары'!C161-'Месяцы_товары'!C149)/('Месяцы_товары'!C161+'Месяцы_товары'!C149)</x:f>
        <x:v>23.53764446884136</x:v>
      </x:c>
      <x:c r="C141" s="19" t="n">
        <x:f>200*('Месяцы_товары'!D161-'Месяцы_товары'!D149)/('Месяцы_товары'!D161+'Месяцы_товары'!D149)</x:f>
        <x:v>37.745103493893026</x:v>
      </x:c>
      <x:c r="D141" s="19" t="n">
        <x:f>200*('Месяцы_товары'!E161-'Месяцы_товары'!E149)/('Месяцы_товары'!E161+'Месяцы_товары'!E149)</x:f>
        <x:v>63.02774131527408</x:v>
      </x:c>
      <x:c r="E141" s="19" t="n">
        <x:f>200*('Месяцы_товары'!F161-'Месяцы_товары'!F149)/('Месяцы_товары'!F161+'Месяцы_товары'!F149)</x:f>
        <x:v>36.82043428502029</x:v>
      </x:c>
    </x:row>
    <x:row r="142" ht="22" customHeight="1">
      <x:c r="A142" s="20" t="d">
        <x:v>2021-12-01T00:00:00.000Z</x:v>
      </x:c>
      <x:c r="B142" s="19" t="n">
        <x:f>200*('Месяцы_товары'!C162-'Месяцы_товары'!C150)/('Месяцы_товары'!C162+'Месяцы_товары'!C150)</x:f>
        <x:v>23.93413206968655</x:v>
      </x:c>
      <x:c r="C142" s="19" t="n">
        <x:f>200*('Месяцы_товары'!D162-'Месяцы_товары'!D150)/('Месяцы_товары'!D162+'Месяцы_товары'!D150)</x:f>
        <x:v>34.044000798591384</x:v>
      </x:c>
      <x:c r="D142" s="19" t="n">
        <x:f>200*('Месяцы_товары'!E162-'Месяцы_товары'!E150)/('Месяцы_товары'!E162+'Месяцы_товары'!E150)</x:f>
        <x:v>101.23913411608054</x:v>
      </x:c>
      <x:c r="E142" s="19" t="n">
        <x:f>200*('Месяцы_товары'!F162-'Месяцы_товары'!F150)/('Месяцы_товары'!F162+'Месяцы_товары'!F150)</x:f>
        <x:v>31.634253522057556</x:v>
      </x:c>
    </x:row>
    <x:row r="143" ht="22" customHeight="1">
      <x:c r="A143" s="20" t="d">
        <x:v>2022-01-01T00:00:00.000Z</x:v>
      </x:c>
      <x:c r="B143" s="19" t="n">
        <x:f>200*('Месяцы_товары'!C163-'Месяцы_товары'!C151)/('Месяцы_товары'!C163+'Месяцы_товары'!C151)</x:f>
        <x:v>23.46072651506962</x:v>
      </x:c>
      <x:c r="C143" s="19" t="n">
        <x:f>200*('Месяцы_товары'!D163-'Месяцы_товары'!D151)/('Месяцы_товары'!D163+'Месяцы_товары'!D151)</x:f>
        <x:v>22.20960488752458</x:v>
      </x:c>
      <x:c r="D143" s="19" t="n">
        <x:f>200*('Месяцы_товары'!E163-'Месяцы_товары'!E151)/('Месяцы_товары'!E163+'Месяцы_товары'!E151)</x:f>
        <x:v>118.56702820290712</x:v>
      </x:c>
      <x:c r="E143" s="19" t="n">
        <x:f>200*('Месяцы_товары'!F163-'Месяцы_товары'!F151)/('Месяцы_товары'!F163+'Месяцы_товары'!F151)</x:f>
        <x:v>41.59503570044607</x:v>
      </x:c>
    </x:row>
    <x:row r="144" ht="22" customHeight="1">
      <x:c r="A144" s="20" t="d">
        <x:v>2022-02-01T00:00:00.000Z</x:v>
      </x:c>
      <x:c r="B144" s="19" t="n">
        <x:f>200*('Месяцы_товары'!C164-'Месяцы_товары'!C152)/('Месяцы_товары'!C164+'Месяцы_товары'!C152)</x:f>
        <x:v>23.744696878076322</x:v>
      </x:c>
      <x:c r="C144" s="19" t="n">
        <x:f>200*('Месяцы_товары'!D164-'Месяцы_товары'!D152)/('Месяцы_товары'!D164+'Месяцы_товары'!D152)</x:f>
        <x:v>17.104060531342057</x:v>
      </x:c>
      <x:c r="D144" s="19" t="n">
        <x:f>200*('Месяцы_товары'!E164-'Месяцы_товары'!E152)/('Месяцы_товары'!E164+'Месяцы_товары'!E152)</x:f>
        <x:v>76.9038133769275</x:v>
      </x:c>
      <x:c r="E144" s="19" t="n">
        <x:f>200*('Месяцы_товары'!F164-'Месяцы_товары'!F152)/('Месяцы_товары'!F164+'Месяцы_товары'!F152)</x:f>
        <x:v>44.362711805201414</x:v>
      </x:c>
    </x:row>
    <x:row r="145" ht="22" customHeight="1">
      <x:c r="A145" s="20" t="d">
        <x:v>2022-03-01T00:00:00.000Z</x:v>
      </x:c>
      <x:c r="B145" s="19" t="n">
        <x:f>200*('Месяцы_товары'!C165-'Месяцы_товары'!C153)/('Месяцы_товары'!C165+'Месяцы_товары'!C153)</x:f>
        <x:v>41.468287522977526</x:v>
      </x:c>
      <x:c r="C145" s="19" t="n">
        <x:f>200*('Месяцы_товары'!D165-'Месяцы_товары'!D153)/('Месяцы_товары'!D165+'Месяцы_товары'!D153)</x:f>
        <x:v>26.09435749114929</x:v>
      </x:c>
      <x:c r="D145" s="19" t="n">
        <x:f>200*('Месяцы_товары'!E165-'Месяцы_товары'!E153)/('Месяцы_товары'!E165+'Месяцы_товары'!E153)</x:f>
        <x:v>71.00995191028919</x:v>
      </x:c>
      <x:c r="E145" s="19" t="n">
        <x:f>200*('Месяцы_товары'!F165-'Месяцы_товары'!F153)/('Месяцы_товары'!F165+'Месяцы_товары'!F153)</x:f>
        <x:v>43.97008764214244</x:v>
      </x:c>
    </x:row>
    <x:row r="146" ht="22" customHeight="1">
      <x:c r="A146" s="20" t="d">
        <x:v>2022-04-01T00:00:00.000Z</x:v>
      </x:c>
      <x:c r="B146" s="19" t="n">
        <x:f>200*('Месяцы_товары'!C166-'Месяцы_товары'!C154)/('Месяцы_товары'!C166+'Месяцы_товары'!C154)</x:f>
        <x:v>26.248117930204348</x:v>
      </x:c>
      <x:c r="C146" s="19" t="n">
        <x:f>200*('Месяцы_товары'!D166-'Месяцы_товары'!D154)/('Месяцы_товары'!D166+'Месяцы_товары'!D154)</x:f>
        <x:v>8.000785853397518</x:v>
      </x:c>
      <x:c r="D146" s="19" t="n">
        <x:f>200*('Месяцы_товары'!E166-'Месяцы_товары'!E154)/('Месяцы_товары'!E166+'Месяцы_товары'!E154)</x:f>
        <x:v>100.13219105958402</x:v>
      </x:c>
      <x:c r="E146" s="19" t="n">
        <x:f>200*('Месяцы_товары'!F166-'Месяцы_товары'!F154)/('Месяцы_товары'!F166+'Месяцы_товары'!F154)</x:f>
        <x:v>40.9136428803046</x:v>
      </x:c>
    </x:row>
    <x:row r="147" ht="22" customHeight="1">
      <x:c r="A147" s="20" t="d">
        <x:v>2022-05-01T00:00:00.000Z</x:v>
      </x:c>
      <x:c r="B147" s="19" t="n">
        <x:f>200*('Месяцы_товары'!C167-'Месяцы_товары'!C155)/('Месяцы_товары'!C167+'Месяцы_товары'!C155)</x:f>
        <x:v>18.645532556875335</x:v>
      </x:c>
      <x:c r="C147" s="19" t="n">
        <x:f>200*('Месяцы_товары'!D167-'Месяцы_товары'!D155)/('Месяцы_товары'!D167+'Месяцы_товары'!D155)</x:f>
        <x:v>7.23905140493239</x:v>
      </x:c>
      <x:c r="D147" s="19" t="n">
        <x:f>200*('Месяцы_товары'!E167-'Месяцы_товары'!E155)/('Месяцы_товары'!E167+'Месяцы_товары'!E155)</x:f>
        <x:v>87.39967925098199</x:v>
      </x:c>
      <x:c r="E147" s="19" t="n">
        <x:f>200*('Месяцы_товары'!F167-'Месяцы_товары'!F155)/('Месяцы_товары'!F167+'Месяцы_товары'!F155)</x:f>
        <x:v>37.04810374681847</x:v>
      </x:c>
    </x:row>
    <x:row r="148" ht="22" customHeight="1">
      <x:c r="A148" s="20" t="d">
        <x:v>2022-06-01T00:00:00.000Z</x:v>
      </x:c>
      <x:c r="B148" s="19" t="n">
        <x:f>200*('Месяцы_товары'!C168-'Месяцы_товары'!C156)/('Месяцы_товары'!C168+'Месяцы_товары'!C156)</x:f>
        <x:v>31.830167029677646</x:v>
      </x:c>
      <x:c r="C148" s="19" t="n">
        <x:f>200*('Месяцы_товары'!D168-'Месяцы_товары'!D156)/('Месяцы_товары'!D168+'Месяцы_товары'!D156)</x:f>
        <x:v>0.8690990429395047</x:v>
      </x:c>
      <x:c r="D148" s="19" t="n">
        <x:f>200*('Месяцы_товары'!E168-'Месяцы_товары'!E156)/('Месяцы_товары'!E168+'Месяцы_товары'!E156)</x:f>
        <x:v>88.83611817540816</x:v>
      </x:c>
      <x:c r="E148" s="19" t="n">
        <x:f>200*('Месяцы_товары'!F168-'Месяцы_товары'!F156)/('Месяцы_товары'!F168+'Месяцы_товары'!F156)</x:f>
        <x:v>15.12564512674643</x:v>
      </x:c>
    </x:row>
    <x:row r="149" ht="22" customHeight="1">
      <x:c r="A149" s="20" t="d">
        <x:v>2022-07-01T00:00:00.000Z</x:v>
      </x:c>
      <x:c r="B149" s="19" t="n">
        <x:f>200*('Месяцы_товары'!C169-'Месяцы_товары'!C157)/('Месяцы_товары'!C169+'Месяцы_товары'!C157)</x:f>
        <x:v>36.60741008423697</x:v>
      </x:c>
      <x:c r="C149" s="19" t="n">
        <x:f>200*('Месяцы_товары'!D169-'Месяцы_товары'!D157)/('Месяцы_товары'!D169+'Месяцы_товары'!D157)</x:f>
        <x:v>-11.315085684165874</x:v>
      </x:c>
      <x:c r="D149" s="19" t="n">
        <x:f>200*('Месяцы_товары'!E169-'Месяцы_товары'!E157)/('Месяцы_товары'!E169+'Месяцы_товары'!E157)</x:f>
        <x:v>34.919953494062476</x:v>
      </x:c>
      <x:c r="E149" s="19" t="n">
        <x:f>200*('Месяцы_товары'!F169-'Месяцы_товары'!F157)/('Месяцы_товары'!F169+'Месяцы_товары'!F157)</x:f>
        <x:v>21.989370931539558</x:v>
      </x:c>
    </x:row>
    <x:row r="150" ht="22" customHeight="1">
      <x:c r="A150" s="20" t="d">
        <x:v>2022-08-01T00:00:00.000Z</x:v>
      </x:c>
      <x:c r="B150" s="19" t="n">
        <x:f>200*('Месяцы_товары'!C170-'Месяцы_товары'!C158)/('Месяцы_товары'!C170+'Месяцы_товары'!C158)</x:f>
        <x:v>29.527412336556676</x:v>
      </x:c>
      <x:c r="C150" s="19" t="n">
        <x:f>200*('Месяцы_товары'!D170-'Месяцы_товары'!D158)/('Месяцы_товары'!D170+'Месяцы_товары'!D158)</x:f>
        <x:v>-25.885071466090956</x:v>
      </x:c>
      <x:c r="D150" s="19" t="n">
        <x:f>200*('Месяцы_товары'!E170-'Месяцы_товары'!E158)/('Месяцы_товары'!E170+'Месяцы_товары'!E158)</x:f>
        <x:v>104.63444096041557</x:v>
      </x:c>
      <x:c r="E150" s="19" t="n">
        <x:f>200*('Месяцы_товары'!F170-'Месяцы_товары'!F158)/('Месяцы_товары'!F170+'Месяцы_товары'!F158)</x:f>
        <x:v>13.11893337363066</x:v>
      </x:c>
    </x:row>
    <x:row r="151" ht="22" customHeight="1">
      <x:c r="A151" s="20" t="d">
        <x:v>2022-09-01T00:00:00.000Z</x:v>
      </x:c>
      <x:c r="B151" s="19" t="n">
        <x:f>200*('Месяцы_товары'!C171-'Месяцы_товары'!C159)/('Месяцы_товары'!C171+'Месяцы_товары'!C159)</x:f>
        <x:v>17.563867416244275</x:v>
      </x:c>
      <x:c r="C151" s="19" t="n">
        <x:f>200*('Месяцы_товары'!D171-'Месяцы_товары'!D159)/('Месяцы_товары'!D171+'Месяцы_товары'!D159)</x:f>
        <x:v>-23.321738685594067</x:v>
      </x:c>
      <x:c r="D151" s="19" t="n">
        <x:f>200*('Месяцы_товары'!E171-'Месяцы_товары'!E159)/('Месяцы_товары'!E171+'Месяцы_товары'!E159)</x:f>
        <x:v>112.86054461115489</x:v>
      </x:c>
      <x:c r="E151" s="19" t="n">
        <x:f>200*('Месяцы_товары'!F171-'Месяцы_товары'!F159)/('Месяцы_товары'!F171+'Месяцы_товары'!F159)</x:f>
        <x:v>16.371595555866815</x:v>
      </x:c>
    </x:row>
    <x:row r="152" ht="22" customHeight="1">
      <x:c r="A152" s="20" t="d">
        <x:v>2022-10-01T00:00:00.000Z</x:v>
      </x:c>
      <x:c r="B152" s="19" t="n">
        <x:f>200*('Месяцы_товары'!C172-'Месяцы_товары'!C160)/('Месяцы_товары'!C172+'Месяцы_товары'!C160)</x:f>
        <x:v>17.18951620467352</x:v>
      </x:c>
      <x:c r="C152" s="19" t="n">
        <x:f>200*('Месяцы_товары'!D172-'Месяцы_товары'!D160)/('Месяцы_товары'!D172+'Месяцы_товары'!D160)</x:f>
        <x:v>-38.59382636873078</x:v>
      </x:c>
      <x:c r="D152" s="19" t="n">
        <x:f>200*('Месяцы_товары'!E172-'Месяцы_товары'!E160)/('Месяцы_товары'!E172+'Месяцы_товары'!E160)</x:f>
        <x:v>79.39054147991781</x:v>
      </x:c>
      <x:c r="E152" s="19" t="n">
        <x:f>200*('Месяцы_товары'!F172-'Месяцы_товары'!F160)/('Месяцы_товары'!F172+'Месяцы_товары'!F160)</x:f>
        <x:v>9.896727699255116</x:v>
      </x:c>
    </x:row>
    <x:row r="153" ht="22" customHeight="1">
      <x:c r="A153" s="20" t="d">
        <x:v>2022-11-01T00:00:00.000Z</x:v>
      </x:c>
      <x:c r="B153" s="19" t="n">
        <x:f>200*('Месяцы_товары'!C173-'Месяцы_товары'!C161)/('Месяцы_товары'!C173+'Месяцы_товары'!C161)</x:f>
        <x:v>11.426074021504373</x:v>
      </x:c>
      <x:c r="C153" s="19" t="n">
        <x:f>200*('Месяцы_товары'!D173-'Месяцы_товары'!D161)/('Месяцы_товары'!D173+'Месяцы_товары'!D161)</x:f>
        <x:v>-60.297325602765476</x:v>
      </x:c>
      <x:c r="D153" s="19" t="n">
        <x:f>200*('Месяцы_товары'!E173-'Месяцы_товары'!E161)/('Месяцы_товары'!E173+'Месяцы_товары'!E161)</x:f>
        <x:v>95.02465799180483</x:v>
      </x:c>
      <x:c r="E153" s="19" t="n">
        <x:f>200*('Месяцы_товары'!F173-'Месяцы_товары'!F161)/('Месяцы_товары'!F173+'Месяцы_товары'!F161)</x:f>
        <x:v>-6.749538815714163</x:v>
      </x:c>
    </x:row>
    <x:row r="154" ht="22" customHeight="1">
      <x:c r="A154" s="20" t="d">
        <x:v>2022-12-01T00:00:00.000Z</x:v>
      </x:c>
      <x:c r="B154" s="19" t="n">
        <x:f>200*('Месяцы_товары'!C174-'Месяцы_товары'!C162)/('Месяцы_товары'!C174+'Месяцы_товары'!C162)</x:f>
        <x:v>2.8536143666407217</x:v>
      </x:c>
      <x:c r="C154" s="19" t="n">
        <x:f>200*('Месяцы_товары'!D174-'Месяцы_товары'!D162)/('Месяцы_товары'!D174+'Месяцы_товары'!D162)</x:f>
        <x:v>-66.84656002850818</x:v>
      </x:c>
      <x:c r="D154" s="19" t="n">
        <x:f>200*('Месяцы_товары'!E174-'Месяцы_товары'!E162)/('Месяцы_товары'!E174+'Месяцы_товары'!E162)</x:f>
        <x:v>115.80837554828757</x:v>
      </x:c>
      <x:c r="E154" s="19" t="n">
        <x:f>200*('Месяцы_товары'!F174-'Месяцы_товары'!F162)/('Месяцы_товары'!F174+'Месяцы_товары'!F162)</x:f>
        <x:v>21.12088758176292</x:v>
      </x:c>
    </x:row>
    <x:row r="155" ht="22" customHeight="1">
      <x:c r="A155" s="20" t="d">
        <x:v>2023-01-01T00:00:00.000Z</x:v>
      </x:c>
      <x:c r="B155" s="19" t="n">
        <x:f>200*('Месяцы_товары'!C175-'Месяцы_товары'!C163)/('Месяцы_товары'!C175+'Месяцы_товары'!C163)</x:f>
        <x:v>-30.13073617236002</x:v>
      </x:c>
      <x:c r="C155" s="19" t="n">
        <x:f>200*('Месяцы_товары'!D175-'Месяцы_товары'!D163)/('Месяцы_товары'!D175+'Месяцы_товары'!D163)</x:f>
        <x:v>-75.95477265396669</x:v>
      </x:c>
      <x:c r="D155" s="19" t="n">
        <x:f>200*('Месяцы_товары'!E175-'Месяцы_товары'!E163)/('Месяцы_товары'!E175+'Месяцы_товары'!E163)</x:f>
        <x:v>-41.940782661971994</x:v>
      </x:c>
      <x:c r="E155" s="19" t="n">
        <x:f>200*('Месяцы_товары'!F175-'Месяцы_товары'!F163)/('Месяцы_товары'!F175+'Месяцы_товары'!F163)</x:f>
        <x:v>-23.46364771986195</x:v>
      </x:c>
    </x:row>
    <x:row r="156" ht="22" customHeight="1">
      <x:c r="A156" s="20" t="d">
        <x:v>2023-02-01T00:00:00.000Z</x:v>
      </x:c>
      <x:c r="B156" s="19" t="n">
        <x:f>200*('Месяцы_товары'!C176-'Месяцы_товары'!C164)/('Месяцы_товары'!C176+'Месяцы_товары'!C164)</x:f>
        <x:v>-32.03326752346911</x:v>
      </x:c>
      <x:c r="C156" s="19" t="n">
        <x:f>200*('Месяцы_товары'!D176-'Месяцы_товары'!D164)/('Месяцы_товары'!D176+'Месяцы_товары'!D164)</x:f>
        <x:v>-68.18872527411143</x:v>
      </x:c>
      <x:c r="D156" s="19" t="n">
        <x:f>200*('Месяцы_товары'!E176-'Месяцы_товары'!E164)/('Месяцы_товары'!E176+'Месяцы_товары'!E164)</x:f>
        <x:v>62.63742715988047</x:v>
      </x:c>
      <x:c r="E156" s="19" t="n">
        <x:f>200*('Месяцы_товары'!F176-'Месяцы_товары'!F164)/('Месяцы_товары'!F176+'Месяцы_товары'!F164)</x:f>
        <x:v>-25.3122632938202</x:v>
      </x:c>
    </x:row>
    <x:row r="157" ht="22" customHeight="1">
      <x:c r="A157" s="20" t="d">
        <x:v>2023-03-01T00:00:00.000Z</x:v>
      </x:c>
      <x:c r="B157" s="19" t="n">
        <x:f>200*('Месяцы_товары'!C177-'Месяцы_товары'!C165)/('Месяцы_товары'!C177+'Месяцы_товары'!C165)</x:f>
        <x:v>-25.751272230747965</x:v>
      </x:c>
      <x:c r="C157" s="19" t="n">
        <x:f>200*('Месяцы_товары'!D177-'Месяцы_товары'!D165)/('Месяцы_товары'!D177+'Месяцы_товары'!D165)</x:f>
        <x:v>-57.706314225545334</x:v>
      </x:c>
      <x:c r="D157" s="19" t="n">
        <x:f>200*('Месяцы_товары'!E177-'Месяцы_товары'!E165)/('Месяцы_товары'!E177+'Месяцы_товары'!E165)</x:f>
        <x:v>39.9987683081871</x:v>
      </x:c>
      <x:c r="E157" s="19" t="n">
        <x:f>200*('Месяцы_товары'!F177-'Месяцы_товары'!F165)/('Месяцы_товары'!F177+'Месяцы_товары'!F165)</x:f>
        <x:v>-5.8057951690937255</x:v>
      </x:c>
    </x:row>
    <x:row r="158" ht="22" customHeight="1">
      <x:c r="A158" s="20" t="d">
        <x:v>2023-04-01T00:00:00.000Z</x:v>
      </x:c>
      <x:c r="B158" s="19" t="n">
        <x:f>200*('Месяцы_товары'!C178-'Месяцы_товары'!C166)/('Месяцы_товары'!C178+'Месяцы_товары'!C166)</x:f>
        <x:v>-22.950862833206624</x:v>
      </x:c>
      <x:c r="C158" s="19" t="n">
        <x:f>200*('Месяцы_товары'!D178-'Месяцы_товары'!D166)/('Месяцы_товары'!D178+'Месяцы_товары'!D166)</x:f>
        <x:v>-68.1429894804131</x:v>
      </x:c>
      <x:c r="D158" s="19" t="n">
        <x:f>200*('Месяцы_товары'!E178-'Месяцы_товары'!E166)/('Месяцы_товары'!E178+'Месяцы_товары'!E166)</x:f>
        <x:v>-41.145942470137356</x:v>
      </x:c>
      <x:c r="E158" s="19" t="n">
        <x:f>200*('Месяцы_товары'!F178-'Месяцы_товары'!F166)/('Месяцы_товары'!F178+'Месяцы_товары'!F166)</x:f>
        <x:v>-29.599698089835744</x:v>
      </x:c>
    </x:row>
    <x:row r="159" ht="22" customHeight="1">
      <x:c r="A159" s="20" t="d">
        <x:v>2023-05-01T00:00:00.000Z</x:v>
      </x:c>
      <x:c r="B159" s="19" t="n">
        <x:f>200*('Месяцы_товары'!C179-'Месяцы_товары'!C167)/('Месяцы_товары'!C179+'Месяцы_товары'!C167)</x:f>
        <x:v>-0.2343071365394</x:v>
      </x:c>
      <x:c r="C159" s="19" t="n">
        <x:f>200*('Месяцы_товары'!D179-'Месяцы_товары'!D167)/('Месяцы_товары'!D179+'Месяцы_товары'!D167)</x:f>
        <x:v>-66.51202272866874</x:v>
      </x:c>
      <x:c r="D159" s="19" t="n">
        <x:f>200*('Месяцы_товары'!E179-'Месяцы_товары'!E167)/('Месяцы_товары'!E179+'Месяцы_товары'!E167)</x:f>
        <x:v>-17.903057029111974</x:v>
      </x:c>
      <x:c r="E159" s="19" t="n">
        <x:f>200*('Месяцы_товары'!F179-'Месяцы_товары'!F167)/('Месяцы_товары'!F179+'Месяцы_товары'!F167)</x:f>
        <x:v>-19.34561558005616</x:v>
      </x:c>
    </x:row>
    <x:row r="160" ht="22" customHeight="1">
      <x:c r="A160" s="20" t="d">
        <x:v>2023-06-01T00:00:00.000Z</x:v>
      </x:c>
      <x:c r="B160" s="19" t="n">
        <x:f>200*('Месяцы_товары'!C180-'Месяцы_товары'!C168)/('Месяцы_товары'!C180+'Месяцы_товары'!C168)</x:f>
        <x:v>-19.89014835185095</x:v>
      </x:c>
      <x:c r="C160" s="19" t="n">
        <x:f>200*('Месяцы_товары'!D180-'Месяцы_товары'!D168)/('Месяцы_товары'!D180+'Месяцы_товары'!D168)</x:f>
        <x:v>-45.39300673156716</x:v>
      </x:c>
      <x:c r="D160" s="19" t="n">
        <x:f>200*('Месяцы_товары'!E180-'Месяцы_товары'!E168)/('Месяцы_товары'!E180+'Месяцы_товары'!E168)</x:f>
        <x:v>-36.50951653923148</x:v>
      </x:c>
      <x:c r="E160" s="19" t="n">
        <x:f>200*('Месяцы_товары'!F180-'Месяцы_товары'!F168)/('Месяцы_товары'!F180+'Месяцы_товары'!F168)</x:f>
        <x:v>20.03619815920966</x:v>
      </x:c>
    </x:row>
    <x:row r="161" ht="22" customHeight="1">
      <x:c r="A161" s="20" t="d">
        <x:v>2023-07-01T00:00:00.000Z</x:v>
      </x:c>
      <x:c r="B161" s="19" t="n">
        <x:f>200*('Месяцы_товары'!C181-'Месяцы_товары'!C169)/('Месяцы_товары'!C181+'Месяцы_товары'!C169)</x:f>
        <x:v>-33.93325777975085</x:v>
      </x:c>
      <x:c r="C161" s="19" t="n">
        <x:f>200*('Месяцы_товары'!D181-'Месяцы_товары'!D169)/('Месяцы_товары'!D181+'Месяцы_товары'!D169)</x:f>
        <x:v>-53.305642195951265</x:v>
      </x:c>
      <x:c r="D161" s="19" t="n">
        <x:f>200*('Месяцы_товары'!E181-'Месяцы_товары'!E169)/('Месяцы_товары'!E181+'Месяцы_товары'!E169)</x:f>
        <x:v>-91.09350131244844</x:v>
      </x:c>
      <x:c r="E161" s="19" t="n">
        <x:f>200*('Месяцы_товары'!F181-'Месяцы_товары'!F169)/('Месяцы_товары'!F181+'Месяцы_товары'!F169)</x:f>
        <x:v>-12.356259054846285</x:v>
      </x:c>
    </x:row>
    <x:row r="162" ht="22" customHeight="1">
      <x:c r="A162" s="20" t="d">
        <x:v>2023-08-01T00:00:00.000Z</x:v>
      </x:c>
      <x:c r="B162" s="19" t="n">
        <x:f>200*('Месяцы_товары'!C182-'Месяцы_товары'!C170)/('Месяцы_товары'!C182+'Месяцы_товары'!C170)</x:f>
        <x:v>-18.981042989725744</x:v>
      </x:c>
      <x:c r="C162" s="19" t="n">
        <x:f>200*('Месяцы_товары'!D182-'Месяцы_товары'!D170)/('Месяцы_товары'!D182+'Месяцы_товары'!D170)</x:f>
        <x:v>-28.530166248086015</x:v>
      </x:c>
      <x:c r="D162" s="19" t="n">
        <x:f>200*('Месяцы_товары'!E182-'Месяцы_товары'!E170)/('Месяцы_товары'!E182+'Месяцы_товары'!E170)</x:f>
        <x:v>-75.11444737696233</x:v>
      </x:c>
      <x:c r="E162" s="19" t="n">
        <x:f>200*('Месяцы_товары'!F182-'Месяцы_товары'!F170)/('Месяцы_товары'!F182+'Месяцы_товары'!F170)</x:f>
        <x:v>-2.7881912293759097</x:v>
      </x:c>
    </x:row>
    <x:row r="163" ht="22" customHeight="1">
      <x:c r="A163" s="20" t="d">
        <x:v>2023-09-01T00:00:00.000Z</x:v>
      </x:c>
      <x:c r="B163" s="19" t="n">
        <x:f>200*('Месяцы_товары'!C183-'Месяцы_товары'!C171)/('Месяцы_товары'!C183+'Месяцы_товары'!C171)</x:f>
        <x:v>-17.90832167861103</x:v>
      </x:c>
      <x:c r="C163" s="19" t="n">
        <x:f>200*('Месяцы_товары'!D183-'Месяцы_товары'!D171)/('Месяцы_товары'!D183+'Месяцы_товары'!D171)</x:f>
        <x:v>-22.332922069046145</x:v>
      </x:c>
      <x:c r="D163" s="19" t="n">
        <x:f>200*('Месяцы_товары'!E183-'Месяцы_товары'!E171)/('Месяцы_товары'!E183+'Месяцы_товары'!E171)</x:f>
        <x:v>-98.15657422134979</x:v>
      </x:c>
      <x:c r="E163" s="19" t="n">
        <x:f>200*('Месяцы_товары'!F183-'Месяцы_товары'!F171)/('Месяцы_товары'!F183+'Месяцы_товары'!F171)</x:f>
        <x:v>25.02137071599134</x:v>
      </x:c>
    </x:row>
    <x:row r="164" ht="22" customHeight="1">
      <x:c r="A164" s="20" t="d">
        <x:v>2023-10-01T00:00:00.000Z</x:v>
      </x:c>
      <x:c r="B164" s="19" t="n">
        <x:f>200*('Месяцы_товары'!C184-'Месяцы_товары'!C172)/('Месяцы_товары'!C184+'Месяцы_товары'!C172)</x:f>
        <x:v>-10.502418005307586</x:v>
      </x:c>
      <x:c r="C164" s="19" t="n">
        <x:f>200*('Месяцы_товары'!D184-'Месяцы_товары'!D172)/('Месяцы_товары'!D184+'Месяцы_товары'!D172)</x:f>
        <x:v>-5.51925853513762</x:v>
      </x:c>
      <x:c r="D164" s="19" t="n">
        <x:f>200*('Месяцы_товары'!E184-'Месяцы_товары'!E172)/('Месяцы_товары'!E184+'Месяцы_товары'!E172)</x:f>
        <x:v>-91.29539695275784</x:v>
      </x:c>
      <x:c r="E164" s="19" t="n">
        <x:f>200*('Месяцы_товары'!F184-'Месяцы_товары'!F172)/('Месяцы_товары'!F184+'Месяцы_товары'!F172)</x:f>
        <x:v>4.910862702811719</x:v>
      </x:c>
    </x:row>
    <x:row r="165" ht="22" customHeight="1">
      <x:c r="A165" s="20" t="d">
        <x:v>2023-11-01T00:00:00.000Z</x:v>
      </x:c>
      <x:c r="B165" s="19" t="n">
        <x:f>200*('Месяцы_товары'!C185-'Месяцы_товары'!C173)/('Месяцы_товары'!C185+'Месяцы_товары'!C173)</x:f>
        <x:v>-11.871143668539773</x:v>
      </x:c>
      <x:c r="C165" s="19" t="n">
        <x:f>200*('Месяцы_товары'!D185-'Месяцы_товары'!D173)/('Месяцы_товары'!D185+'Месяцы_товары'!D173)</x:f>
        <x:v>21.595708479785348</x:v>
      </x:c>
      <x:c r="D165" s="19" t="n">
        <x:f>200*('Месяцы_товары'!E185-'Месяцы_товары'!E173)/('Месяцы_товары'!E185+'Месяцы_товары'!E173)</x:f>
        <x:v>-87.1581243802409</x:v>
      </x:c>
      <x:c r="E165" s="19" t="n">
        <x:f>200*('Месяцы_товары'!F185-'Месяцы_товары'!F173)/('Месяцы_товары'!F185+'Месяцы_товары'!F173)</x:f>
        <x:v>5.205163711665545</x:v>
      </x:c>
    </x:row>
    <x:row r="166" ht="22" customHeight="1">
      <x:c r="A166" s="20" t="d">
        <x:v>2023-12-01T00:00:00.000Z</x:v>
      </x:c>
      <x:c r="B166" s="19" t="n">
        <x:f>200*('Месяцы_товары'!C186-'Месяцы_товары'!C174)/('Месяцы_товары'!C186+'Месяцы_товары'!C174)</x:f>
        <x:v>-20.022773568466</x:v>
      </x:c>
      <x:c r="C166" s="19" t="n">
        <x:f>200*('Месяцы_товары'!D186-'Месяцы_товары'!D174)/('Месяцы_товары'!D186+'Месяцы_товары'!D174)</x:f>
        <x:v>43.738006322905676</x:v>
      </x:c>
      <x:c r="D166" s="19" t="n">
        <x:f>200*('Месяцы_товары'!E186-'Месяцы_товары'!E174)/('Месяцы_товары'!E186+'Месяцы_товары'!E174)</x:f>
        <x:v>-149.79273023083041</x:v>
      </x:c>
      <x:c r="E166" s="19" t="n">
        <x:f>200*('Месяцы_товары'!F186-'Месяцы_товары'!F174)/('Месяцы_товары'!F186+'Месяцы_товары'!F174)</x:f>
        <x:v>4.336482991252207</x:v>
      </x:c>
    </x:row>
    <x:row r="167" ht="22" customHeight="1">
      <x:c r="A167" s="20" t="d">
        <x:v>2024-01-01T00:00:00.000Z</x:v>
      </x:c>
      <x:c r="B167" s="19" t="n">
        <x:f>200*('Месяцы_товары'!C187-'Месяцы_товары'!C175)/('Месяцы_товары'!C187+'Месяцы_товары'!C175)</x:f>
        <x:v>23.860022361753153</x:v>
      </x:c>
      <x:c r="C167" s="19" t="n">
        <x:f>200*('Месяцы_товары'!D187-'Месяцы_товары'!D175)/('Месяцы_товары'!D187+'Месяцы_товары'!D175)</x:f>
        <x:v>58.245337902831075</x:v>
      </x:c>
      <x:c r="D167" s="19" t="n">
        <x:f>200*('Месяцы_товары'!E187-'Месяцы_товары'!E175)/('Месяцы_товары'!E187+'Месяцы_товары'!E175)</x:f>
        <x:v>-27.5092072290885</x:v>
      </x:c>
      <x:c r="E167" s="19" t="n">
        <x:f>200*('Месяцы_товары'!F187-'Месяцы_товары'!F175)/('Месяцы_товары'!F187+'Месяцы_товары'!F175)</x:f>
        <x:v>20.716971796560987</x:v>
      </x:c>
    </x:row>
    <x:row r="168" ht="22" customHeight="1">
      <x:c r="A168" s="20" t="d">
        <x:v>2024-02-01T00:00:00.000Z</x:v>
      </x:c>
      <x:c r="B168" s="19" t="n">
        <x:f>200*('Месяцы_товары'!C188-'Месяцы_товары'!C176)/('Месяцы_товары'!C188+'Месяцы_товары'!C176)</x:f>
        <x:v>27.491096320073567</x:v>
      </x:c>
      <x:c r="C168" s="19" t="n">
        <x:f>200*('Месяцы_товары'!D188-'Месяцы_товары'!D176)/('Месяцы_товары'!D188+'Месяцы_товары'!D176)</x:f>
        <x:v>65.8824430672402</x:v>
      </x:c>
      <x:c r="D168" s="19" t="n">
        <x:f>200*('Месяцы_товары'!E188-'Месяцы_товары'!E176)/('Месяцы_товары'!E188+'Месяцы_товары'!E176)</x:f>
        <x:v>-88.04323856470258</x:v>
      </x:c>
      <x:c r="E168" s="19" t="n">
        <x:f>200*('Месяцы_товары'!F188-'Месяцы_товары'!F176)/('Месяцы_товары'!F188+'Месяцы_товары'!F176)</x:f>
        <x:v>18.4215395048791</x:v>
      </x:c>
    </x:row>
    <x:row r="169" ht="22" customHeight="1">
      <x:c r="A169" s="20" t="d">
        <x:v>2024-03-01T00:00:00.000Z</x:v>
      </x:c>
      <x:c r="B169" s="19" t="n">
        <x:f>200*('Месяцы_товары'!C189-'Месяцы_товары'!C177)/('Месяцы_товары'!C189+'Месяцы_товары'!C177)</x:f>
        <x:v>9.953804832562875</x:v>
      </x:c>
      <x:c r="C169" s="19" t="n">
        <x:f>200*('Месяцы_товары'!D189-'Месяцы_товары'!D177)/('Месяцы_товары'!D189+'Месяцы_товары'!D177)</x:f>
        <x:v>42.550982978836046</x:v>
      </x:c>
      <x:c r="D169" s="19" t="n">
        <x:f>200*('Месяцы_товары'!E189-'Месяцы_товары'!E177)/('Месяцы_товары'!E189+'Месяцы_товары'!E177)</x:f>
        <x:v>-56.006945728369196</x:v>
      </x:c>
      <x:c r="E169" s="19" t="n">
        <x:f>200*('Месяцы_товары'!F189-'Месяцы_товары'!F177)/('Месяцы_товары'!F189+'Месяцы_товары'!F177)</x:f>
        <x:v>-10.059288489222185</x:v>
      </x:c>
    </x:row>
    <x:row r="170" ht="22" customHeight="1">
      <x:c r="A170" s="20" t="d">
        <x:v>2024-04-01T00:00:00.000Z</x:v>
      </x:c>
      <x:c r="B170" s="19" t="n">
        <x:f>200*('Месяцы_товары'!C190-'Месяцы_товары'!C178)/('Месяцы_товары'!C190+'Месяцы_товары'!C178)</x:f>
        <x:v>23.56172499853051</x:v>
      </x:c>
      <x:c r="C170" s="19" t="n">
        <x:f>200*('Месяцы_товары'!D190-'Месяцы_товары'!D178)/('Месяцы_товары'!D190+'Месяцы_товары'!D178)</x:f>
        <x:v>60.562866622308334</x:v>
      </x:c>
      <x:c r="D170" s="19" t="n">
        <x:f>200*('Месяцы_товары'!E190-'Месяцы_товары'!E178)/('Месяцы_товары'!E190+'Месяцы_товары'!E178)</x:f>
        <x:v>-17.02743669357475</x:v>
      </x:c>
      <x:c r="E170" s="19" t="n">
        <x:f>200*('Месяцы_товары'!F190-'Месяцы_товары'!F178)/('Месяцы_товары'!F190+'Месяцы_товары'!F178)</x:f>
        <x:v>-1.3785363150285057</x:v>
      </x:c>
    </x:row>
    <x:row r="171" ht="22" customHeight="1">
      <x:c r="A171" s="20" t="d">
        <x:v>2024-05-01T00:00:00.000Z</x:v>
      </x:c>
      <x:c r="B171" s="19" t="n">
        <x:f>200*('Месяцы_товары'!C191-'Месяцы_товары'!C179)/('Месяцы_товары'!C191+'Месяцы_товары'!C179)</x:f>
        <x:v>13.393720429632952</x:v>
      </x:c>
      <x:c r="C171" s="19" t="n">
        <x:f>200*('Месяцы_товары'!D191-'Месяцы_товары'!D179)/('Месяцы_товары'!D191+'Месяцы_товары'!D179)</x:f>
        <x:v>61.56315394595067</x:v>
      </x:c>
      <x:c r="D171" s="19" t="n">
        <x:f>200*('Месяцы_товары'!E191-'Месяцы_товары'!E179)/('Месяцы_товары'!E191+'Месяцы_товары'!E179)</x:f>
        <x:v>-12.520602604669318</x:v>
      </x:c>
      <x:c r="E171" s="19" t="n">
        <x:f>200*('Месяцы_товары'!F191-'Месяцы_товары'!F179)/('Месяцы_товары'!F191+'Месяцы_товары'!F179)</x:f>
        <x:v>4.781191378193424</x:v>
      </x:c>
    </x:row>
    <x:row r="172" ht="22" customHeight="1">
      <x:c r="A172" s="20" t="d">
        <x:v>2024-06-01T00:00:00.000Z</x:v>
      </x:c>
      <x:c r="B172" s="19" t="n">
        <x:f>200*('Месяцы_товары'!C192-'Месяцы_товары'!C180)/('Месяцы_товары'!C192+'Месяцы_товары'!C180)</x:f>
        <x:v>7.7882255821131805</x:v>
      </x:c>
      <x:c r="C172" s="19" t="n">
        <x:f>200*('Месяцы_товары'!D192-'Месяцы_товары'!D180)/('Месяцы_товары'!D192+'Месяцы_товары'!D180)</x:f>
        <x:v>54.49158534375399</x:v>
      </x:c>
      <x:c r="D172" s="19" t="n">
        <x:f>200*('Месяцы_товары'!E192-'Месяцы_товары'!E180)/('Месяцы_товары'!E192+'Месяцы_товары'!E180)</x:f>
        <x:v>-27.771496829730957</x:v>
      </x:c>
      <x:c r="E172" s="19" t="n">
        <x:f>200*('Месяцы_товары'!F192-'Месяцы_товары'!F180)/('Месяцы_товары'!F192+'Месяцы_товары'!F180)</x:f>
        <x:v>12.679227368058493</x:v>
      </x:c>
    </x:row>
    <x:row r="173" ht="22" customHeight="1">
      <x:c r="A173" s="20" t="d">
        <x:v>2024-07-01T00:00:00.000Z</x:v>
      </x:c>
      <x:c r="B173" s="19" t="n">
        <x:f>200*('Месяцы_товары'!C193-'Месяцы_товары'!C181)/('Месяцы_товары'!C193+'Месяцы_товары'!C181)</x:f>
        <x:v>13.68206612502682</x:v>
      </x:c>
      <x:c r="C173" s="19" t="n">
        <x:f>200*('Месяцы_товары'!D193-'Месяцы_товары'!D181)/('Месяцы_товары'!D193+'Месяцы_товары'!D181)</x:f>
        <x:v>62.156420772887984</x:v>
      </x:c>
      <x:c r="D173" s="19" t="n">
        <x:f>200*('Месяцы_товары'!E193-'Месяцы_товары'!E181)/('Месяцы_товары'!E193+'Месяцы_товары'!E181)</x:f>
        <x:v>5.165303240457431</x:v>
      </x:c>
      <x:c r="E173" s="19" t="n">
        <x:f>200*('Месяцы_товары'!F193-'Месяцы_товары'!F181)/('Месяцы_товары'!F193+'Месяцы_товары'!F181)</x:f>
        <x:v>5.351979575792336</x:v>
      </x:c>
    </x:row>
    <x:row r="174" ht="22" customHeight="1">
      <x:c r="A174" s="20" t="d">
        <x:v>2024-08-01T00:00:00.000Z</x:v>
      </x:c>
      <x:c r="B174" s="19" t="n">
        <x:f>200*('Месяцы_товары'!C194-'Месяцы_товары'!C182)/('Месяцы_товары'!C194+'Месяцы_товары'!C182)</x:f>
        <x:v>2.408937461859082</x:v>
      </x:c>
      <x:c r="C174" s="19" t="n">
        <x:f>200*('Месяцы_товары'!D194-'Месяцы_товары'!D182)/('Месяцы_товары'!D194+'Месяцы_товары'!D182)</x:f>
        <x:v>47.28289797170231</x:v>
      </x:c>
      <x:c r="D174" s="19" t="n">
        <x:f>200*('Месяцы_товары'!E194-'Месяцы_товары'!E182)/('Месяцы_товары'!E194+'Месяцы_товары'!E182)</x:f>
        <x:v>0.5380218526139375</x:v>
      </x:c>
      <x:c r="E174" s="19" t="n">
        <x:f>200*('Месяцы_товары'!F194-'Месяцы_товары'!F182)/('Месяцы_товары'!F194+'Месяцы_товары'!F182)</x:f>
        <x:v>3.752837420895451</x:v>
      </x:c>
    </x:row>
    <x:row r="175" ht="22" customHeight="1">
      <x:c r="A175" s="20" t="d">
        <x:v>2024-09-01T00:00:00.000Z</x:v>
      </x:c>
      <x:c r="B175" s="19" t="n">
        <x:f>200*('Месяцы_товары'!C195-'Месяцы_товары'!C183)/('Месяцы_товары'!C195+'Месяцы_товары'!C183)</x:f>
        <x:v>4.490494711231355</x:v>
      </x:c>
      <x:c r="C175" s="19" t="n">
        <x:f>200*('Месяцы_товары'!D195-'Месяцы_товары'!D183)/('Месяцы_товары'!D195+'Месяцы_товары'!D183)</x:f>
        <x:v>47.55132319062936</x:v>
      </x:c>
      <x:c r="D175" s="19" t="n">
        <x:f>200*('Месяцы_товары'!E195-'Месяцы_товары'!E183)/('Месяцы_товары'!E195+'Месяцы_товары'!E183)</x:f>
        <x:v>-23.625795728633598</x:v>
      </x:c>
      <x:c r="E175" s="19" t="n">
        <x:f>200*('Месяцы_товары'!F195-'Месяцы_товары'!F183)/('Месяцы_товары'!F195+'Месяцы_товары'!F183)</x:f>
        <x:v>7.2331390414899674</x:v>
      </x:c>
    </x:row>
    <x:row r="176" ht="22" customHeight="1">
      <x:c r="A176" s="20" t="d">
        <x:v>2024-10-01T00:00:00.000Z</x:v>
      </x:c>
      <x:c r="B176" s="19" t="n">
        <x:f>200*('Месяцы_товары'!C196-'Месяцы_товары'!C184)/('Месяцы_товары'!C196+'Месяцы_товары'!C184)</x:f>
        <x:v>16.528526175956735</x:v>
      </x:c>
      <x:c r="C176" s="19" t="n">
        <x:f>200*('Месяцы_товары'!D196-'Месяцы_товары'!D184)/('Месяцы_товары'!D196+'Месяцы_товары'!D184)</x:f>
        <x:v>49.544411675116294</x:v>
      </x:c>
      <x:c r="D176" s="19" t="n">
        <x:f>200*('Месяцы_товары'!E196-'Месяцы_товары'!E184)/('Месяцы_товары'!E196+'Месяцы_товары'!E184)</x:f>
        <x:v>-6.8945614830057345</x:v>
      </x:c>
      <x:c r="E176" s="19" t="n">
        <x:f>200*('Месяцы_товары'!F196-'Месяцы_товары'!F184)/('Месяцы_товары'!F196+'Месяцы_товары'!F184)</x:f>
        <x:v>-2.1539798925154234</x:v>
      </x:c>
    </x:row>
    <x:row r="177" ht="22" customHeight="1">
      <x:c r="A177" s="20" t="d">
        <x:v>2024-11-01T00:00:00.000Z</x:v>
      </x:c>
      <x:c r="B177" s="19" t="n">
        <x:f>200*('Месяцы_товары'!C197-'Месяцы_товары'!C185)/('Месяцы_товары'!C197+'Месяцы_товары'!C185)</x:f>
        <x:v>5.905772058565715</x:v>
      </x:c>
      <x:c r="C177" s="19" t="n">
        <x:f>200*('Месяцы_товары'!D197-'Месяцы_товары'!D185)/('Месяцы_товары'!D197+'Месяцы_товары'!D185)</x:f>
        <x:v>40.781669831871</x:v>
      </x:c>
      <x:c r="D177" s="19" t="n">
        <x:f>200*('Месяцы_товары'!E197-'Месяцы_товары'!E185)/('Месяцы_товары'!E197+'Месяцы_товары'!E185)</x:f>
        <x:v>-25.220445690090468</x:v>
      </x:c>
      <x:c r="E177" s="19" t="n">
        <x:f>200*('Месяцы_товары'!F197-'Месяцы_товары'!F185)/('Месяцы_товары'!F197+'Месяцы_товары'!F185)</x:f>
        <x:v>-10.850693450293704</x:v>
      </x:c>
    </x:row>
    <x:row r="178" ht="22" customHeight="1">
      <x:c r="A178" s="20" t="d">
        <x:v>2024-12-01T00:00:00.000Z</x:v>
      </x:c>
      <x:c r="B178" s="19" t="n">
        <x:f>200*('Месяцы_товары'!C198-'Месяцы_товары'!C186)/('Месяцы_товары'!C198+'Месяцы_товары'!C186)</x:f>
        <x:v>15.920978683490535</x:v>
      </x:c>
      <x:c r="C178" s="19" t="n">
        <x:f>200*('Месяцы_товары'!D198-'Месяцы_товары'!D186)/('Месяцы_товары'!D198+'Месяцы_товары'!D186)</x:f>
        <x:v>33.37811632234753</x:v>
      </x:c>
      <x:c r="D178" s="19" t="n">
        <x:f>200*('Месяцы_товары'!E198-'Месяцы_товары'!E186)/('Месяцы_товары'!E198+'Месяцы_товары'!E186)</x:f>
        <x:v>-11.093936039497178</x:v>
      </x:c>
      <x:c r="E178" s="19" t="n">
        <x:f>200*('Месяцы_товары'!F198-'Месяцы_товары'!F186)/('Месяцы_товары'!F198+'Месяцы_товары'!F186)</x:f>
        <x:v>8.733609779721276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4" t="str">
        <x:v>Приложение Б. Корреляции роста направлений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2" customHeight="1">
      <x:c r="A3" s="6" t="str">
        <x:v>Корреляция Пирсона, 84 месяца. Рост рассчитан по сумме четырёх товаров каждого направления; это не матрица 36 ячеек модели.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7" t="str">
        <x:v>Источник: S04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6" customHeight="1">
      <x:c r="A5" s="8" t="str">
        <x:v>Япония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40" customHeight="1">
      <x:c r="A6" s="13" t="str">
        <x:v>Направление</x:v>
      </x:c>
      <x:c r="B6" s="13" t="str">
        <x:v>Китай</x:v>
      </x:c>
      <x:c r="C6" s="13" t="str">
        <x:v>Гонконг</x:v>
      </x:c>
      <x:c r="D6" s="13" t="str">
        <x:v>Прочая Азия, н.в.д. (490)</x:v>
      </x:c>
      <x:c r="E6" s="13" t="str">
        <x:v>Вьетнам</x:v>
      </x:c>
      <x:c r="F6" s="13" t="str">
        <x:v>Сингапур</x:v>
      </x:c>
      <x:c r="G6" s="13" t="str">
        <x:v>Филиппины</x:v>
      </x:c>
      <x:c r="H6" s="13" t="str">
        <x:v>США</x:v>
      </x:c>
      <x:c r="I6" s="13" t="str">
        <x:v>Таиланд</x:v>
      </x:c>
      <x:c r="J6" s="13" t="str">
        <x:v>Остальные направления</x:v>
      </x:c>
    </x:row>
    <x:row r="7" ht="22" customHeight="1">
      <x:c r="A7" s="15" t="str">
        <x:v>Китай</x:v>
      </x:c>
      <x:c r="B7" s="24" t="n">
        <x:f>CORREL(B34:B117,B34:B117)</x:f>
        <x:v>1.0000000000000002</x:v>
      </x:c>
      <x:c r="C7" s="24" t="n">
        <x:f>CORREL(B34:B117,C34:C117)</x:f>
        <x:v>-0.27415480969508593</x:v>
      </x:c>
      <x:c r="D7" s="24" t="n">
        <x:f>CORREL(B34:B117,D34:D117)</x:f>
        <x:v>0.19338881426804713</x:v>
      </x:c>
      <x:c r="E7" s="24" t="n">
        <x:f>CORREL(B34:B117,E34:E117)</x:f>
        <x:v>-0.04808081876575274</x:v>
      </x:c>
      <x:c r="F7" s="24" t="n">
        <x:f>CORREL(B34:B117,F34:F117)</x:f>
        <x:v>-0.04085394684275478</x:v>
      </x:c>
      <x:c r="G7" s="24" t="n">
        <x:f>CORREL(B34:B117,G34:G117)</x:f>
        <x:v>0.4227669088565268</x:v>
      </x:c>
      <x:c r="H7" s="24" t="n">
        <x:f>CORREL(B34:B117,H34:H117)</x:f>
        <x:v>0.03492610826323473</x:v>
      </x:c>
      <x:c r="I7" s="24" t="n">
        <x:f>CORREL(B34:B117,I34:I117)</x:f>
        <x:v>0.2695694703141595</x:v>
      </x:c>
      <x:c r="J7" s="24" t="n">
        <x:f>CORREL(B34:B117,J34:J117)</x:f>
        <x:v>0.08331155775733184</x:v>
      </x:c>
    </x:row>
    <x:row r="8" ht="22" customHeight="1">
      <x:c r="A8" s="15" t="str">
        <x:v>Гонконг</x:v>
      </x:c>
      <x:c r="B8" s="24" t="n">
        <x:f>CORREL(C34:C117,B34:B117)</x:f>
        <x:v>-0.27415480969508593</x:v>
      </x:c>
      <x:c r="C8" s="24" t="n">
        <x:f>CORREL(C34:C117,C34:C117)</x:f>
        <x:v>1</x:v>
      </x:c>
      <x:c r="D8" s="24" t="n">
        <x:f>CORREL(C34:C117,D34:D117)</x:f>
        <x:v>-0.0655797867675956</x:v>
      </x:c>
      <x:c r="E8" s="24" t="n">
        <x:f>CORREL(C34:C117,E34:E117)</x:f>
        <x:v>-0.07625433609364743</x:v>
      </x:c>
      <x:c r="F8" s="24" t="n">
        <x:f>CORREL(C34:C117,F34:F117)</x:f>
        <x:v>-0.09957638276031223</x:v>
      </x:c>
      <x:c r="G8" s="24" t="n">
        <x:f>CORREL(C34:C117,G34:G117)</x:f>
        <x:v>-0.046372340485721315</x:v>
      </x:c>
      <x:c r="H8" s="24" t="n">
        <x:f>CORREL(C34:C117,H34:H117)</x:f>
        <x:v>0.16744974394068876</x:v>
      </x:c>
      <x:c r="I8" s="24" t="n">
        <x:f>CORREL(C34:C117,I34:I117)</x:f>
        <x:v>-0.15802856306680657</x:v>
      </x:c>
      <x:c r="J8" s="24" t="n">
        <x:f>CORREL(C34:C117,J34:J117)</x:f>
        <x:v>-0.26288652678421487</x:v>
      </x:c>
    </x:row>
    <x:row r="9" ht="22" customHeight="1">
      <x:c r="A9" s="15" t="str">
        <x:v>Прочая Азия, н.в.д. (490)</x:v>
      </x:c>
      <x:c r="B9" s="24" t="n">
        <x:f>CORREL(D34:D117,B34:B117)</x:f>
        <x:v>0.19338881426804713</x:v>
      </x:c>
      <x:c r="C9" s="24" t="n">
        <x:f>CORREL(D34:D117,C34:C117)</x:f>
        <x:v>-0.0655797867675956</x:v>
      </x:c>
      <x:c r="D9" s="24" t="n">
        <x:f>CORREL(D34:D117,D34:D117)</x:f>
        <x:v>0.9999999999999999</x:v>
      </x:c>
      <x:c r="E9" s="24" t="n">
        <x:f>CORREL(D34:D117,E34:E117)</x:f>
        <x:v>0.13666785348209706</x:v>
      </x:c>
      <x:c r="F9" s="24" t="n">
        <x:f>CORREL(D34:D117,F34:F117)</x:f>
        <x:v>-0.25008315655038693</x:v>
      </x:c>
      <x:c r="G9" s="24" t="n">
        <x:f>CORREL(D34:D117,G34:G117)</x:f>
        <x:v>0.544756801505652</x:v>
      </x:c>
      <x:c r="H9" s="24" t="n">
        <x:f>CORREL(D34:D117,H34:H117)</x:f>
        <x:v>0.0956625670426025</x:v>
      </x:c>
      <x:c r="I9" s="24" t="n">
        <x:f>CORREL(D34:D117,I34:I117)</x:f>
        <x:v>0.25746685155485555</x:v>
      </x:c>
      <x:c r="J9" s="24" t="n">
        <x:f>CORREL(D34:D117,J34:J117)</x:f>
        <x:v>0.18124860243477517</x:v>
      </x:c>
    </x:row>
    <x:row r="10" ht="22" customHeight="1">
      <x:c r="A10" s="15" t="str">
        <x:v>Вьетнам</x:v>
      </x:c>
      <x:c r="B10" s="24" t="n">
        <x:f>CORREL(E34:E117,B34:B117)</x:f>
        <x:v>-0.048080818765752736</x:v>
      </x:c>
      <x:c r="C10" s="24" t="n">
        <x:f>CORREL(E34:E117,C34:C117)</x:f>
        <x:v>-0.07625433609364744</x:v>
      </x:c>
      <x:c r="D10" s="24" t="n">
        <x:f>CORREL(E34:E117,D34:D117)</x:f>
        <x:v>0.1366678534820971</x:v>
      </x:c>
      <x:c r="E10" s="24" t="n">
        <x:f>CORREL(E34:E117,E34:E117)</x:f>
        <x:v>1</x:v>
      </x:c>
      <x:c r="F10" s="24" t="n">
        <x:f>CORREL(E34:E117,F34:F117)</x:f>
        <x:v>-0.21146332373223592</x:v>
      </x:c>
      <x:c r="G10" s="24" t="n">
        <x:f>CORREL(E34:E117,G34:G117)</x:f>
        <x:v>0.11076779903756855</x:v>
      </x:c>
      <x:c r="H10" s="24" t="n">
        <x:f>CORREL(E34:E117,H34:H117)</x:f>
        <x:v>0.0003151945600141014</x:v>
      </x:c>
      <x:c r="I10" s="24" t="n">
        <x:f>CORREL(E34:E117,I34:I117)</x:f>
        <x:v>0.11516910377163668</x:v>
      </x:c>
      <x:c r="J10" s="24" t="n">
        <x:f>CORREL(E34:E117,J34:J117)</x:f>
        <x:v>-0.07997304946432891</x:v>
      </x:c>
    </x:row>
    <x:row r="11" ht="22" customHeight="1">
      <x:c r="A11" s="15" t="str">
        <x:v>Сингапур</x:v>
      </x:c>
      <x:c r="B11" s="24" t="n">
        <x:f>CORREL(F34:F117,B34:B117)</x:f>
        <x:v>-0.04085394684275477</x:v>
      </x:c>
      <x:c r="C11" s="24" t="n">
        <x:f>CORREL(F34:F117,C34:C117)</x:f>
        <x:v>-0.09957638276031223</x:v>
      </x:c>
      <x:c r="D11" s="24" t="n">
        <x:f>CORREL(F34:F117,D34:D117)</x:f>
        <x:v>-0.25008315655038693</x:v>
      </x:c>
      <x:c r="E11" s="24" t="n">
        <x:f>CORREL(F34:F117,E34:E117)</x:f>
        <x:v>-0.21146332373223592</x:v>
      </x:c>
      <x:c r="F11" s="24" t="n">
        <x:f>CORREL(F34:F117,F34:F117)</x:f>
        <x:v>1</x:v>
      </x:c>
      <x:c r="G11" s="24" t="n">
        <x:f>CORREL(F34:F117,G34:G117)</x:f>
        <x:v>-0.07026616271952324</x:v>
      </x:c>
      <x:c r="H11" s="24" t="n">
        <x:f>CORREL(F34:F117,H34:H117)</x:f>
        <x:v>-0.07153337332903373</x:v>
      </x:c>
      <x:c r="I11" s="24" t="n">
        <x:f>CORREL(F34:F117,I34:I117)</x:f>
        <x:v>-0.15511201793768312</x:v>
      </x:c>
      <x:c r="J11" s="24" t="n">
        <x:f>CORREL(F34:F117,J34:J117)</x:f>
        <x:v>-0.16116140051903724</x:v>
      </x:c>
    </x:row>
    <x:row r="12" ht="22" customHeight="1">
      <x:c r="A12" s="15" t="str">
        <x:v>Филиппины</x:v>
      </x:c>
      <x:c r="B12" s="24" t="n">
        <x:f>CORREL(G34:G117,B34:B117)</x:f>
        <x:v>0.4227669088565268</x:v>
      </x:c>
      <x:c r="C12" s="24" t="n">
        <x:f>CORREL(G34:G117,C34:C117)</x:f>
        <x:v>-0.046372340485721315</x:v>
      </x:c>
      <x:c r="D12" s="24" t="n">
        <x:f>CORREL(G34:G117,D34:D117)</x:f>
        <x:v>0.5447568015056519</x:v>
      </x:c>
      <x:c r="E12" s="24" t="n">
        <x:f>CORREL(G34:G117,E34:E117)</x:f>
        <x:v>0.11076779903756855</x:v>
      </x:c>
      <x:c r="F12" s="24" t="n">
        <x:f>CORREL(G34:G117,F34:F117)</x:f>
        <x:v>-0.07026616271952324</x:v>
      </x:c>
      <x:c r="G12" s="24" t="n">
        <x:f>CORREL(G34:G117,G34:G117)</x:f>
        <x:v>1</x:v>
      </x:c>
      <x:c r="H12" s="24" t="n">
        <x:f>CORREL(G34:G117,H34:H117)</x:f>
        <x:v>0.026204569835461006</x:v>
      </x:c>
      <x:c r="I12" s="24" t="n">
        <x:f>CORREL(G34:G117,I34:I117)</x:f>
        <x:v>0.192083894147124</x:v>
      </x:c>
      <x:c r="J12" s="24" t="n">
        <x:f>CORREL(G34:G117,J34:J117)</x:f>
        <x:v>-0.059784401786176014</x:v>
      </x:c>
    </x:row>
    <x:row r="13" ht="22" customHeight="1">
      <x:c r="A13" s="15" t="str">
        <x:v>США</x:v>
      </x:c>
      <x:c r="B13" s="24" t="n">
        <x:f>CORREL(H34:H117,B34:B117)</x:f>
        <x:v>0.03492610826323473</x:v>
      </x:c>
      <x:c r="C13" s="24" t="n">
        <x:f>CORREL(H34:H117,C34:C117)</x:f>
        <x:v>0.16744974394068876</x:v>
      </x:c>
      <x:c r="D13" s="24" t="n">
        <x:f>CORREL(H34:H117,D34:D117)</x:f>
        <x:v>0.0956625670426025</x:v>
      </x:c>
      <x:c r="E13" s="24" t="n">
        <x:f>CORREL(H34:H117,E34:E117)</x:f>
        <x:v>0.0003151945600141014</x:v>
      </x:c>
      <x:c r="F13" s="24" t="n">
        <x:f>CORREL(H34:H117,F34:F117)</x:f>
        <x:v>-0.07153337332903374</x:v>
      </x:c>
      <x:c r="G13" s="24" t="n">
        <x:f>CORREL(H34:H117,G34:G117)</x:f>
        <x:v>0.026204569835461006</x:v>
      </x:c>
      <x:c r="H13" s="24" t="n">
        <x:f>CORREL(H34:H117,H34:H117)</x:f>
        <x:v>1</x:v>
      </x:c>
      <x:c r="I13" s="24" t="n">
        <x:f>CORREL(H34:H117,I34:I117)</x:f>
        <x:v>0.529782476301242</x:v>
      </x:c>
      <x:c r="J13" s="24" t="n">
        <x:f>CORREL(H34:H117,J34:J117)</x:f>
        <x:v>0.33726757535864027</x:v>
      </x:c>
    </x:row>
    <x:row r="14" ht="22" customHeight="1">
      <x:c r="A14" s="15" t="str">
        <x:v>Таиланд</x:v>
      </x:c>
      <x:c r="B14" s="24" t="n">
        <x:f>CORREL(I34:I117,B34:B117)</x:f>
        <x:v>0.26956947031415945</x:v>
      </x:c>
      <x:c r="C14" s="24" t="n">
        <x:f>CORREL(I34:I117,C34:C117)</x:f>
        <x:v>-0.15802856306680657</x:v>
      </x:c>
      <x:c r="D14" s="24" t="n">
        <x:f>CORREL(I34:I117,D34:D117)</x:f>
        <x:v>0.25746685155485555</x:v>
      </x:c>
      <x:c r="E14" s="24" t="n">
        <x:f>CORREL(I34:I117,E34:E117)</x:f>
        <x:v>0.1151691037716367</x:v>
      </x:c>
      <x:c r="F14" s="24" t="n">
        <x:f>CORREL(I34:I117,F34:F117)</x:f>
        <x:v>-0.15511201793768312</x:v>
      </x:c>
      <x:c r="G14" s="24" t="n">
        <x:f>CORREL(I34:I117,G34:G117)</x:f>
        <x:v>0.19208389414712404</x:v>
      </x:c>
      <x:c r="H14" s="24" t="n">
        <x:f>CORREL(I34:I117,H34:H117)</x:f>
        <x:v>0.529782476301242</x:v>
      </x:c>
      <x:c r="I14" s="24" t="n">
        <x:f>CORREL(I34:I117,I34:I117)</x:f>
        <x:v>1</x:v>
      </x:c>
      <x:c r="J14" s="24" t="n">
        <x:f>CORREL(I34:I117,J34:J117)</x:f>
        <x:v>0.3468437764167859</x:v>
      </x:c>
    </x:row>
    <x:row r="15" ht="22" customHeight="1">
      <x:c r="A15" s="15" t="str">
        <x:v>Остальные направления</x:v>
      </x:c>
      <x:c r="B15" s="24" t="n">
        <x:f>CORREL(J34:J117,B34:B117)</x:f>
        <x:v>0.08331155775733184</x:v>
      </x:c>
      <x:c r="C15" s="24" t="n">
        <x:f>CORREL(J34:J117,C34:C117)</x:f>
        <x:v>-0.26288652678421487</x:v>
      </x:c>
      <x:c r="D15" s="24" t="n">
        <x:f>CORREL(J34:J117,D34:D117)</x:f>
        <x:v>0.18124860243477517</x:v>
      </x:c>
      <x:c r="E15" s="24" t="n">
        <x:f>CORREL(J34:J117,E34:E117)</x:f>
        <x:v>-0.07997304946432891</x:v>
      </x:c>
      <x:c r="F15" s="24" t="n">
        <x:f>CORREL(J34:J117,F34:F117)</x:f>
        <x:v>-0.16116140051903727</x:v>
      </x:c>
      <x:c r="G15" s="24" t="n">
        <x:f>CORREL(J34:J117,G34:G117)</x:f>
        <x:v>-0.05978440178617602</x:v>
      </x:c>
      <x:c r="H15" s="24" t="n">
        <x:f>CORREL(J34:J117,H34:H117)</x:f>
        <x:v>0.3372675753586403</x:v>
      </x:c>
      <x:c r="I15" s="24" t="n">
        <x:f>CORREL(J34:J117,I34:I117)</x:f>
        <x:v>0.3468437764167859</x:v>
      </x:c>
      <x:c r="J15" s="24" t="n">
        <x:f>CORREL(J34:J117,J34:J117)</x:f>
        <x:v>0.9999999999999998</x:v>
      </x:c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6" customHeight="1">
      <x:c r="A18" s="8" t="str">
        <x:v>Республика Корея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40" customHeight="1">
      <x:c r="A19" s="13" t="str">
        <x:v>Направление</x:v>
      </x:c>
      <x:c r="B19" s="13" t="str">
        <x:v>Китай</x:v>
      </x:c>
      <x:c r="C19" s="13" t="str">
        <x:v>Гонконг</x:v>
      </x:c>
      <x:c r="D19" s="13" t="str">
        <x:v>Прочая Азия, н.в.д. (490)</x:v>
      </x:c>
      <x:c r="E19" s="13" t="str">
        <x:v>Вьетнам</x:v>
      </x:c>
      <x:c r="F19" s="13" t="str">
        <x:v>Сингапур</x:v>
      </x:c>
      <x:c r="G19" s="13" t="str">
        <x:v>Филиппины</x:v>
      </x:c>
      <x:c r="H19" s="13" t="str">
        <x:v>США</x:v>
      </x:c>
      <x:c r="I19" s="13" t="str">
        <x:v>Таиланд</x:v>
      </x:c>
      <x:c r="J19" s="13" t="str">
        <x:v>Остальные направления</x:v>
      </x:c>
    </x:row>
    <x:row r="20" ht="22" customHeight="1">
      <x:c r="A20" s="15" t="str">
        <x:v>Китай</x:v>
      </x:c>
      <x:c r="B20" s="24" t="n">
        <x:f>CORREL(B122:B205,B122:B205)</x:f>
        <x:v>0.9999999999999999</x:v>
      </x:c>
      <x:c r="C20" s="24" t="n">
        <x:f>CORREL(B122:B205,C122:C205)</x:f>
        <x:v>0.6115971615436416</x:v>
      </x:c>
      <x:c r="D20" s="24" t="n">
        <x:f>CORREL(B122:B205,D122:D205)</x:f>
        <x:v>0.6490875338508437</x:v>
      </x:c>
      <x:c r="E20" s="24" t="n">
        <x:f>CORREL(B122:B205,E122:E205)</x:f>
        <x:v>0.6093229285804702</x:v>
      </x:c>
      <x:c r="F20" s="24" t="n">
        <x:f>CORREL(B122:B205,F122:F205)</x:f>
        <x:v>0.37784034448240644</x:v>
      </x:c>
      <x:c r="G20" s="24" t="n">
        <x:f>CORREL(B122:B205,G122:G205)</x:f>
        <x:v>0.866377091460691</x:v>
      </x:c>
      <x:c r="H20" s="24" t="n">
        <x:f>CORREL(B122:B205,H122:H205)</x:f>
        <x:v>0.43808727911367856</x:v>
      </x:c>
      <x:c r="I20" s="24" t="n">
        <x:f>CORREL(B122:B205,I122:I205)</x:f>
        <x:v>0.45375529068904563</x:v>
      </x:c>
      <x:c r="J20" s="24" t="n">
        <x:f>CORREL(B122:B205,J122:J205)</x:f>
        <x:v>0.4051510136659513</x:v>
      </x:c>
    </x:row>
    <x:row r="21" ht="22" customHeight="1">
      <x:c r="A21" s="15" t="str">
        <x:v>Гонконг</x:v>
      </x:c>
      <x:c r="B21" s="24" t="n">
        <x:f>CORREL(C122:C205,B122:B205)</x:f>
        <x:v>0.6115971615436416</x:v>
      </x:c>
      <x:c r="C21" s="24" t="n">
        <x:f>CORREL(C122:C205,C122:C205)</x:f>
        <x:v>0.9999999999999998</x:v>
      </x:c>
      <x:c r="D21" s="24" t="n">
        <x:f>CORREL(C122:C205,D122:D205)</x:f>
        <x:v>0.48855897654196584</x:v>
      </x:c>
      <x:c r="E21" s="24" t="n">
        <x:f>CORREL(C122:C205,E122:E205)</x:f>
        <x:v>0.36074190801489014</x:v>
      </x:c>
      <x:c r="F21" s="24" t="n">
        <x:f>CORREL(C122:C205,F122:F205)</x:f>
        <x:v>0.07430939599688165</x:v>
      </x:c>
      <x:c r="G21" s="24" t="n">
        <x:f>CORREL(C122:C205,G122:G205)</x:f>
        <x:v>0.4654169138118224</x:v>
      </x:c>
      <x:c r="H21" s="24" t="n">
        <x:f>CORREL(C122:C205,H122:H205)</x:f>
        <x:v>0.304683678918747</x:v>
      </x:c>
      <x:c r="I21" s="24" t="n">
        <x:f>CORREL(C122:C205,I122:I205)</x:f>
        <x:v>0.13499405506001164</x:v>
      </x:c>
      <x:c r="J21" s="24" t="n">
        <x:f>CORREL(C122:C205,J122:J205)</x:f>
        <x:v>0.4223364425655735</x:v>
      </x:c>
    </x:row>
    <x:row r="22" ht="22" customHeight="1">
      <x:c r="A22" s="15" t="str">
        <x:v>Прочая Азия, н.в.д. (490)</x:v>
      </x:c>
      <x:c r="B22" s="24" t="n">
        <x:f>CORREL(D122:D205,B122:B205)</x:f>
        <x:v>0.6490875338508437</x:v>
      </x:c>
      <x:c r="C22" s="24" t="n">
        <x:f>CORREL(D122:D205,C122:C205)</x:f>
        <x:v>0.48855897654196584</x:v>
      </x:c>
      <x:c r="D22" s="24" t="n">
        <x:f>CORREL(D122:D205,D122:D205)</x:f>
        <x:v>1</x:v>
      </x:c>
      <x:c r="E22" s="24" t="n">
        <x:f>CORREL(D122:D205,E122:E205)</x:f>
        <x:v>0.5793828282411595</x:v>
      </x:c>
      <x:c r="F22" s="24" t="n">
        <x:f>CORREL(D122:D205,F122:F205)</x:f>
        <x:v>0.22648419179270132</x:v>
      </x:c>
      <x:c r="G22" s="24" t="n">
        <x:f>CORREL(D122:D205,G122:G205)</x:f>
        <x:v>0.7540038113880329</x:v>
      </x:c>
      <x:c r="H22" s="24" t="n">
        <x:f>CORREL(D122:D205,H122:H205)</x:f>
        <x:v>0.5812724472626362</x:v>
      </x:c>
      <x:c r="I22" s="24" t="n">
        <x:f>CORREL(D122:D205,I122:I205)</x:f>
        <x:v>0.27126184492155236</x:v>
      </x:c>
      <x:c r="J22" s="24" t="n">
        <x:f>CORREL(D122:D205,J122:J205)</x:f>
        <x:v>0.3764204528423091</x:v>
      </x:c>
    </x:row>
    <x:row r="23" ht="22" customHeight="1">
      <x:c r="A23" s="15" t="str">
        <x:v>Вьетнам</x:v>
      </x:c>
      <x:c r="B23" s="24" t="n">
        <x:f>CORREL(E122:E205,B122:B205)</x:f>
        <x:v>0.6093229285804702</x:v>
      </x:c>
      <x:c r="C23" s="24" t="n">
        <x:f>CORREL(E122:E205,C122:C205)</x:f>
        <x:v>0.36074190801489014</x:v>
      </x:c>
      <x:c r="D23" s="24" t="n">
        <x:f>CORREL(E122:E205,D122:D205)</x:f>
        <x:v>0.5793828282411595</x:v>
      </x:c>
      <x:c r="E23" s="24" t="n">
        <x:f>CORREL(E122:E205,E122:E205)</x:f>
        <x:v>0.9999999999999999</x:v>
      </x:c>
      <x:c r="F23" s="24" t="n">
        <x:f>CORREL(E122:E205,F122:F205)</x:f>
        <x:v>0.32313714765235524</x:v>
      </x:c>
      <x:c r="G23" s="24" t="n">
        <x:f>CORREL(E122:E205,G122:G205)</x:f>
        <x:v>0.6333089936763215</x:v>
      </x:c>
      <x:c r="H23" s="24" t="n">
        <x:f>CORREL(E122:E205,H122:H205)</x:f>
        <x:v>0.38008181228946825</x:v>
      </x:c>
      <x:c r="I23" s="24" t="n">
        <x:f>CORREL(E122:E205,I122:I205)</x:f>
        <x:v>0.2589697382289344</x:v>
      </x:c>
      <x:c r="J23" s="24" t="n">
        <x:f>CORREL(E122:E205,J122:J205)</x:f>
        <x:v>0.5183065407723594</x:v>
      </x:c>
    </x:row>
    <x:row r="24" ht="22" customHeight="1">
      <x:c r="A24" s="15" t="str">
        <x:v>Сингапур</x:v>
      </x:c>
      <x:c r="B24" s="24" t="n">
        <x:f>CORREL(F122:F205,B122:B205)</x:f>
        <x:v>0.37784034448240644</x:v>
      </x:c>
      <x:c r="C24" s="24" t="n">
        <x:f>CORREL(F122:F205,C122:C205)</x:f>
        <x:v>0.07430939599688163</x:v>
      </x:c>
      <x:c r="D24" s="24" t="n">
        <x:f>CORREL(F122:F205,D122:D205)</x:f>
        <x:v>0.22648419179270135</x:v>
      </x:c>
      <x:c r="E24" s="24" t="n">
        <x:f>CORREL(F122:F205,E122:E205)</x:f>
        <x:v>0.3231371476523553</x:v>
      </x:c>
      <x:c r="F24" s="24" t="n">
        <x:f>CORREL(F122:F205,F122:F205)</x:f>
        <x:v>1.0000000000000002</x:v>
      </x:c>
      <x:c r="G24" s="24" t="n">
        <x:f>CORREL(F122:F205,G122:G205)</x:f>
        <x:v>0.37007258065574966</x:v>
      </x:c>
      <x:c r="H24" s="24" t="n">
        <x:f>CORREL(F122:F205,H122:H205)</x:f>
        <x:v>-0.02112499122556329</x:v>
      </x:c>
      <x:c r="I24" s="24" t="n">
        <x:f>CORREL(F122:F205,I122:I205)</x:f>
        <x:v>0.5567377101874822</x:v>
      </x:c>
      <x:c r="J24" s="24" t="n">
        <x:f>CORREL(F122:F205,J122:J205)</x:f>
        <x:v>0.29925136012684306</x:v>
      </x:c>
    </x:row>
    <x:row r="25" ht="22" customHeight="1">
      <x:c r="A25" s="15" t="str">
        <x:v>Филиппины</x:v>
      </x:c>
      <x:c r="B25" s="24" t="n">
        <x:f>CORREL(G122:G205,B122:B205)</x:f>
        <x:v>0.866377091460691</x:v>
      </x:c>
      <x:c r="C25" s="24" t="n">
        <x:f>CORREL(G122:G205,C122:C205)</x:f>
        <x:v>0.4654169138118223</x:v>
      </x:c>
      <x:c r="D25" s="24" t="n">
        <x:f>CORREL(G122:G205,D122:D205)</x:f>
        <x:v>0.7540038113880329</x:v>
      </x:c>
      <x:c r="E25" s="24" t="n">
        <x:f>CORREL(G122:G205,E122:E205)</x:f>
        <x:v>0.6333089936763215</x:v>
      </x:c>
      <x:c r="F25" s="24" t="n">
        <x:f>CORREL(G122:G205,F122:F205)</x:f>
        <x:v>0.37007258065574966</x:v>
      </x:c>
      <x:c r="G25" s="24" t="n">
        <x:f>CORREL(G122:G205,G122:G205)</x:f>
        <x:v>0.9999999999999999</x:v>
      </x:c>
      <x:c r="H25" s="24" t="n">
        <x:f>CORREL(G122:G205,H122:H205)</x:f>
        <x:v>0.4914297500226026</x:v>
      </x:c>
      <x:c r="I25" s="24" t="n">
        <x:f>CORREL(G122:G205,I122:I205)</x:f>
        <x:v>0.42604670210086976</x:v>
      </x:c>
      <x:c r="J25" s="24" t="n">
        <x:f>CORREL(G122:G205,J122:J205)</x:f>
        <x:v>0.39273361090674597</x:v>
      </x:c>
    </x:row>
    <x:row r="26" ht="22" customHeight="1">
      <x:c r="A26" s="15" t="str">
        <x:v>США</x:v>
      </x:c>
      <x:c r="B26" s="24" t="n">
        <x:f>CORREL(H122:H205,B122:B205)</x:f>
        <x:v>0.43808727911367856</x:v>
      </x:c>
      <x:c r="C26" s="24" t="n">
        <x:f>CORREL(H122:H205,C122:C205)</x:f>
        <x:v>0.304683678918747</x:v>
      </x:c>
      <x:c r="D26" s="24" t="n">
        <x:f>CORREL(H122:H205,D122:D205)</x:f>
        <x:v>0.5812724472626362</x:v>
      </x:c>
      <x:c r="E26" s="24" t="n">
        <x:f>CORREL(H122:H205,E122:E205)</x:f>
        <x:v>0.38008181228946825</x:v>
      </x:c>
      <x:c r="F26" s="24" t="n">
        <x:f>CORREL(H122:H205,F122:F205)</x:f>
        <x:v>-0.021124991225563286</x:v>
      </x:c>
      <x:c r="G26" s="24" t="n">
        <x:f>CORREL(H122:H205,G122:G205)</x:f>
        <x:v>0.4914297500226026</x:v>
      </x:c>
      <x:c r="H26" s="24" t="n">
        <x:f>CORREL(H122:H205,H122:H205)</x:f>
        <x:v>1</x:v>
      </x:c>
      <x:c r="I26" s="24" t="n">
        <x:f>CORREL(H122:H205,I122:I205)</x:f>
        <x:v>0.009742792697400617</x:v>
      </x:c>
      <x:c r="J26" s="24" t="n">
        <x:f>CORREL(H122:H205,J122:J205)</x:f>
        <x:v>0.2755823289888267</x:v>
      </x:c>
    </x:row>
    <x:row r="27" ht="22" customHeight="1">
      <x:c r="A27" s="15" t="str">
        <x:v>Таиланд</x:v>
      </x:c>
      <x:c r="B27" s="24" t="n">
        <x:f>CORREL(I122:I205,B122:B205)</x:f>
        <x:v>0.45375529068904563</x:v>
      </x:c>
      <x:c r="C27" s="24" t="n">
        <x:f>CORREL(I122:I205,C122:C205)</x:f>
        <x:v>0.13499405506001164</x:v>
      </x:c>
      <x:c r="D27" s="24" t="n">
        <x:f>CORREL(I122:I205,D122:D205)</x:f>
        <x:v>0.2712618449215523</x:v>
      </x:c>
      <x:c r="E27" s="24" t="n">
        <x:f>CORREL(I122:I205,E122:E205)</x:f>
        <x:v>0.2589697382289343</x:v>
      </x:c>
      <x:c r="F27" s="24" t="n">
        <x:f>CORREL(I122:I205,F122:F205)</x:f>
        <x:v>0.5567377101874822</x:v>
      </x:c>
      <x:c r="G27" s="24" t="n">
        <x:f>CORREL(I122:I205,G122:G205)</x:f>
        <x:v>0.42604670210086976</x:v>
      </x:c>
      <x:c r="H27" s="24" t="n">
        <x:f>CORREL(I122:I205,H122:H205)</x:f>
        <x:v>0.009742792697400618</x:v>
      </x:c>
      <x:c r="I27" s="24" t="n">
        <x:f>CORREL(I122:I205,I122:I205)</x:f>
        <x:v>0.9999999999999999</x:v>
      </x:c>
      <x:c r="J27" s="24" t="n">
        <x:f>CORREL(I122:I205,J122:J205)</x:f>
        <x:v>0.0951473159114907</x:v>
      </x:c>
    </x:row>
    <x:row r="28" ht="22" customHeight="1">
      <x:c r="A28" s="15" t="str">
        <x:v>Остальные направления</x:v>
      </x:c>
      <x:c r="B28" s="24" t="n">
        <x:f>CORREL(J122:J205,B122:B205)</x:f>
        <x:v>0.4051510136659513</x:v>
      </x:c>
      <x:c r="C28" s="24" t="n">
        <x:f>CORREL(J122:J205,C122:C205)</x:f>
        <x:v>0.4223364425655735</x:v>
      </x:c>
      <x:c r="D28" s="24" t="n">
        <x:f>CORREL(J122:J205,D122:D205)</x:f>
        <x:v>0.3764204528423091</x:v>
      </x:c>
      <x:c r="E28" s="24" t="n">
        <x:f>CORREL(J122:J205,E122:E205)</x:f>
        <x:v>0.5183065407723594</x:v>
      </x:c>
      <x:c r="F28" s="24" t="n">
        <x:f>CORREL(J122:J205,F122:F205)</x:f>
        <x:v>0.299251360126843</x:v>
      </x:c>
      <x:c r="G28" s="24" t="n">
        <x:f>CORREL(J122:J205,G122:G205)</x:f>
        <x:v>0.39273361090674597</x:v>
      </x:c>
      <x:c r="H28" s="24" t="n">
        <x:f>CORREL(J122:J205,H122:H205)</x:f>
        <x:v>0.2755823289888267</x:v>
      </x:c>
      <x:c r="I28" s="24" t="n">
        <x:f>CORREL(J122:J205,I122:I205)</x:f>
        <x:v>0.09514731591149071</x:v>
      </x:c>
      <x:c r="J28" s="24" t="n">
        <x:f>CORREL(J122:J205,J122:J205)</x:f>
        <x:v>0.9999999999999998</x:v>
      </x:c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6" customHeight="1">
      <x:c r="A32" s="8" t="str">
        <x:v>Япония: рост направлений, п.п.</x:v>
      </x:c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40" customHeight="1">
      <x:c r="A33" s="13" t="str">
        <x:v>Месяц</x:v>
      </x:c>
      <x:c r="B33" s="13" t="str">
        <x:v>Китай</x:v>
      </x:c>
      <x:c r="C33" s="13" t="str">
        <x:v>Гонконг</x:v>
      </x:c>
      <x:c r="D33" s="13" t="str">
        <x:v>Прочая Азия, н.в.д. (490)</x:v>
      </x:c>
      <x:c r="E33" s="13" t="str">
        <x:v>Вьетнам</x:v>
      </x:c>
      <x:c r="F33" s="13" t="str">
        <x:v>Сингапур</x:v>
      </x:c>
      <x:c r="G33" s="13" t="str">
        <x:v>Филиппины</x:v>
      </x:c>
      <x:c r="H33" s="13" t="str">
        <x:v>США</x:v>
      </x:c>
      <x:c r="I33" s="13" t="str">
        <x:v>Таиланд</x:v>
      </x:c>
      <x:c r="J33" s="13" t="str">
        <x:v>Остальные направления</x:v>
      </x:c>
    </x:row>
    <x:row r="34" ht="22" customHeight="1">
      <x:c r="A34" s="20" t="d">
        <x:v>2018-01-01T00:00:00.000Z</x:v>
      </x:c>
      <x:c r="B34" s="19" t="n">
        <x:f>200*('Месяцы_рынки'!C19-'Месяцы_рынки'!C7)/('Месяцы_рынки'!C19+'Месяцы_рынки'!C7)</x:f>
        <x:v>14.521898940408185</x:v>
      </x:c>
      <x:c r="C34" s="19" t="n">
        <x:f>200*('Месяцы_рынки'!D19-'Месяцы_рынки'!D7)/('Месяцы_рынки'!D19+'Месяцы_рынки'!D7)</x:f>
        <x:v>-14.752706034432075</x:v>
      </x:c>
      <x:c r="D34" s="19" t="n">
        <x:f>200*('Месяцы_рынки'!E19-'Месяцы_рынки'!E7)/('Месяцы_рынки'!E19+'Месяцы_рынки'!E7)</x:f>
        <x:v>26.533566463699923</x:v>
      </x:c>
      <x:c r="E34" s="19" t="n">
        <x:f>200*('Месяцы_рынки'!F19-'Месяцы_рынки'!F7)/('Месяцы_рынки'!F19+'Месяцы_рынки'!F7)</x:f>
        <x:v>50.887291765479965</x:v>
      </x:c>
      <x:c r="F34" s="19" t="n">
        <x:f>200*('Месяцы_рынки'!G19-'Месяцы_рынки'!G7)/('Месяцы_рынки'!G19+'Месяцы_рынки'!G7)</x:f>
        <x:v>12.076763863305748</x:v>
      </x:c>
      <x:c r="G34" s="19" t="n">
        <x:f>200*('Месяцы_рынки'!H19-'Месяцы_рынки'!H7)/('Месяцы_рынки'!H19+'Месяцы_рынки'!H7)</x:f>
        <x:v>21.70621182077047</x:v>
      </x:c>
      <x:c r="H34" s="19" t="n">
        <x:f>200*('Месяцы_рынки'!I19-'Месяцы_рынки'!I7)/('Месяцы_рынки'!I19+'Месяцы_рынки'!I7)</x:f>
        <x:v>-14.774710404185397</x:v>
      </x:c>
      <x:c r="I34" s="19" t="n">
        <x:f>200*('Месяцы_рынки'!J19-'Месяцы_рынки'!J7)/('Месяцы_рынки'!J19+'Месяцы_рынки'!J7)</x:f>
        <x:v>6.732204938956281</x:v>
      </x:c>
      <x:c r="J34" s="19" t="n">
        <x:f>200*('Месяцы_рынки'!K19-'Месяцы_рынки'!K7)/('Месяцы_рынки'!K19+'Месяцы_рынки'!K7)</x:f>
        <x:v>-0.2344431214032213</x:v>
      </x:c>
    </x:row>
    <x:row r="35" ht="22" customHeight="1">
      <x:c r="A35" s="20" t="d">
        <x:v>2018-02-01T00:00:00.000Z</x:v>
      </x:c>
      <x:c r="B35" s="19" t="n">
        <x:f>200*('Месяцы_рынки'!C20-'Месяцы_рынки'!C8)/('Месяцы_рынки'!C20+'Месяцы_рынки'!C8)</x:f>
        <x:v>6.026698557932289</x:v>
      </x:c>
      <x:c r="C35" s="19" t="n">
        <x:f>200*('Месяцы_рынки'!D20-'Месяцы_рынки'!D8)/('Месяцы_рынки'!D20+'Месяцы_рынки'!D8)</x:f>
        <x:v>-38.29145568959518</x:v>
      </x:c>
      <x:c r="D35" s="19" t="n">
        <x:f>200*('Месяцы_рынки'!E20-'Месяцы_рынки'!E8)/('Месяцы_рынки'!E20+'Месяцы_рынки'!E8)</x:f>
        <x:v>13.799718184167176</x:v>
      </x:c>
      <x:c r="E35" s="19" t="n">
        <x:f>200*('Месяцы_рынки'!F20-'Месяцы_рынки'!F8)/('Месяцы_рынки'!F20+'Месяцы_рынки'!F8)</x:f>
        <x:v>-66.31914844738698</x:v>
      </x:c>
      <x:c r="F35" s="19" t="n">
        <x:f>200*('Месяцы_рынки'!G20-'Месяцы_рынки'!G8)/('Месяцы_рынки'!G20+'Месяцы_рынки'!G8)</x:f>
        <x:v>39.23495322574874</x:v>
      </x:c>
      <x:c r="G35" s="19" t="n">
        <x:f>200*('Месяцы_рынки'!H20-'Месяцы_рынки'!H8)/('Месяцы_рынки'!H20+'Месяцы_рынки'!H8)</x:f>
        <x:v>11.41873533073567</x:v>
      </x:c>
      <x:c r="H35" s="19" t="n">
        <x:f>200*('Месяцы_рынки'!I20-'Месяцы_рынки'!I8)/('Месяцы_рынки'!I20+'Месяцы_рынки'!I8)</x:f>
        <x:v>-5.550602529353858</x:v>
      </x:c>
      <x:c r="I35" s="19" t="n">
        <x:f>200*('Месяцы_рынки'!J20-'Месяцы_рынки'!J8)/('Месяцы_рынки'!J20+'Месяцы_рынки'!J8)</x:f>
        <x:v>21.674597228947366</x:v>
      </x:c>
      <x:c r="J35" s="19" t="n">
        <x:f>200*('Месяцы_рынки'!K20-'Месяцы_рынки'!K8)/('Месяцы_рынки'!K20+'Месяцы_рынки'!K8)</x:f>
        <x:v>-4.757845290604595</x:v>
      </x:c>
    </x:row>
    <x:row r="36" ht="22" customHeight="1">
      <x:c r="A36" s="20" t="d">
        <x:v>2018-03-01T00:00:00.000Z</x:v>
      </x:c>
      <x:c r="B36" s="19" t="n">
        <x:f>200*('Месяцы_рынки'!C21-'Месяцы_рынки'!C9)/('Месяцы_рынки'!C21+'Месяцы_рынки'!C9)</x:f>
        <x:v>22.276654390444175</x:v>
      </x:c>
      <x:c r="C36" s="19" t="n">
        <x:f>200*('Месяцы_рынки'!D21-'Месяцы_рынки'!D9)/('Месяцы_рынки'!D21+'Месяцы_рынки'!D9)</x:f>
        <x:v>2.1755629621842574</x:v>
      </x:c>
      <x:c r="D36" s="19" t="n">
        <x:f>200*('Месяцы_рынки'!E21-'Месяцы_рынки'!E9)/('Месяцы_рынки'!E21+'Месяцы_рынки'!E9)</x:f>
        <x:v>15.991641544828546</x:v>
      </x:c>
      <x:c r="E36" s="19" t="n">
        <x:f>200*('Месяцы_рынки'!F21-'Месяцы_рынки'!F9)/('Месяцы_рынки'!F21+'Месяцы_рынки'!F9)</x:f>
        <x:v>-31.183891898837803</x:v>
      </x:c>
      <x:c r="F36" s="19" t="n">
        <x:f>200*('Месяцы_рынки'!G21-'Месяцы_рынки'!G9)/('Месяцы_рынки'!G21+'Месяцы_рынки'!G9)</x:f>
        <x:v>36.52519252456058</x:v>
      </x:c>
      <x:c r="G36" s="19" t="n">
        <x:f>200*('Месяцы_рынки'!H21-'Месяцы_рынки'!H9)/('Месяцы_рынки'!H21+'Месяцы_рынки'!H9)</x:f>
        <x:v>7.453533086529063</x:v>
      </x:c>
      <x:c r="H36" s="19" t="n">
        <x:f>200*('Месяцы_рынки'!I21-'Месяцы_рынки'!I9)/('Месяцы_рынки'!I21+'Месяцы_рынки'!I9)</x:f>
        <x:v>-10.528643503740856</x:v>
      </x:c>
      <x:c r="I36" s="19" t="n">
        <x:f>200*('Месяцы_рынки'!J21-'Месяцы_рынки'!J9)/('Месяцы_рынки'!J21+'Месяцы_рынки'!J9)</x:f>
        <x:v>20.483623907183155</x:v>
      </x:c>
      <x:c r="J36" s="19" t="n">
        <x:f>200*('Месяцы_рынки'!K21-'Месяцы_рынки'!K9)/('Месяцы_рынки'!K21+'Месяцы_рынки'!K9)</x:f>
        <x:v>-0.8921839587273194</x:v>
      </x:c>
    </x:row>
    <x:row r="37" ht="22" customHeight="1">
      <x:c r="A37" s="20" t="d">
        <x:v>2018-04-01T00:00:00.000Z</x:v>
      </x:c>
      <x:c r="B37" s="19" t="n">
        <x:f>200*('Месяцы_рынки'!C22-'Месяцы_рынки'!C10)/('Месяцы_рынки'!C22+'Месяцы_рынки'!C10)</x:f>
        <x:v>18.476386718452744</x:v>
      </x:c>
      <x:c r="C37" s="19" t="n">
        <x:f>200*('Месяцы_рынки'!D22-'Месяцы_рынки'!D10)/('Месяцы_рынки'!D22+'Месяцы_рынки'!D10)</x:f>
        <x:v>0.3112293176822865</x:v>
      </x:c>
      <x:c r="D37" s="19" t="n">
        <x:f>200*('Месяцы_рынки'!E22-'Месяцы_рынки'!E10)/('Месяцы_рынки'!E22+'Месяцы_рынки'!E10)</x:f>
        <x:v>17.314507266595644</x:v>
      </x:c>
      <x:c r="E37" s="19" t="n">
        <x:f>200*('Месяцы_рынки'!F22-'Месяцы_рынки'!F10)/('Месяцы_рынки'!F22+'Месяцы_рынки'!F10)</x:f>
        <x:v>-28.22796012486028</x:v>
      </x:c>
      <x:c r="F37" s="19" t="n">
        <x:f>200*('Месяцы_рынки'!G22-'Месяцы_рынки'!G10)/('Месяцы_рынки'!G22+'Месяцы_рынки'!G10)</x:f>
        <x:v>46.23913953815793</x:v>
      </x:c>
      <x:c r="G37" s="19" t="n">
        <x:f>200*('Месяцы_рынки'!H22-'Месяцы_рынки'!H10)/('Месяцы_рынки'!H22+'Месяцы_рынки'!H10)</x:f>
        <x:v>1.7223053445484788</x:v>
      </x:c>
      <x:c r="H37" s="19" t="n">
        <x:f>200*('Месяцы_рынки'!I22-'Месяцы_рынки'!I10)/('Месяцы_рынки'!I22+'Месяцы_рынки'!I10)</x:f>
        <x:v>-9.286708706919612</x:v>
      </x:c>
      <x:c r="I37" s="19" t="n">
        <x:f>200*('Месяцы_рынки'!J22-'Месяцы_рынки'!J10)/('Месяцы_рынки'!J22+'Месяцы_рынки'!J10)</x:f>
        <x:v>10.389455478557277</x:v>
      </x:c>
      <x:c r="J37" s="19" t="n">
        <x:f>200*('Месяцы_рынки'!K22-'Месяцы_рынки'!K10)/('Месяцы_рынки'!K22+'Месяцы_рынки'!K10)</x:f>
        <x:v>-1.3584173126923824</x:v>
      </x:c>
    </x:row>
    <x:row r="38" ht="22" customHeight="1">
      <x:c r="A38" s="20" t="d">
        <x:v>2018-05-01T00:00:00.000Z</x:v>
      </x:c>
      <x:c r="B38" s="19" t="n">
        <x:f>200*('Месяцы_рынки'!C23-'Месяцы_рынки'!C11)/('Месяцы_рынки'!C23+'Месяцы_рынки'!C11)</x:f>
        <x:v>11.209163684269578</x:v>
      </x:c>
      <x:c r="C38" s="19" t="n">
        <x:f>200*('Месяцы_рынки'!D23-'Месяцы_рынки'!D11)/('Месяцы_рынки'!D23+'Месяцы_рынки'!D11)</x:f>
        <x:v>1.3487938680606275</x:v>
      </x:c>
      <x:c r="D38" s="19" t="n">
        <x:f>200*('Месяцы_рынки'!E23-'Месяцы_рынки'!E11)/('Месяцы_рынки'!E23+'Месяцы_рынки'!E11)</x:f>
        <x:v>21.070810097431007</x:v>
      </x:c>
      <x:c r="E38" s="19" t="n">
        <x:f>200*('Месяцы_рынки'!F23-'Месяцы_рынки'!F11)/('Месяцы_рынки'!F23+'Месяцы_рынки'!F11)</x:f>
        <x:v>66.04566800581651</x:v>
      </x:c>
      <x:c r="F38" s="19" t="n">
        <x:f>200*('Месяцы_рынки'!G23-'Месяцы_рынки'!G11)/('Месяцы_рынки'!G23+'Месяцы_рынки'!G11)</x:f>
        <x:v>48.49913850138267</x:v>
      </x:c>
      <x:c r="G38" s="19" t="n">
        <x:f>200*('Месяцы_рынки'!H23-'Месяцы_рынки'!H11)/('Месяцы_рынки'!H23+'Месяцы_рынки'!H11)</x:f>
        <x:v>3.644400282472528</x:v>
      </x:c>
      <x:c r="H38" s="19" t="n">
        <x:f>200*('Месяцы_рынки'!I23-'Месяцы_рынки'!I11)/('Месяцы_рынки'!I23+'Месяцы_рынки'!I11)</x:f>
        <x:v>5.430688748513856</x:v>
      </x:c>
      <x:c r="I38" s="19" t="n">
        <x:f>200*('Месяцы_рынки'!J23-'Месяцы_рынки'!J11)/('Месяцы_рынки'!J23+'Месяцы_рынки'!J11)</x:f>
        <x:v>5.9825035818907075</x:v>
      </x:c>
      <x:c r="J38" s="19" t="n">
        <x:f>200*('Месяцы_рынки'!K23-'Месяцы_рынки'!K11)/('Месяцы_рынки'!K23+'Месяцы_рынки'!K11)</x:f>
        <x:v>-22.588742616476523</x:v>
      </x:c>
    </x:row>
    <x:row r="39" ht="22" customHeight="1">
      <x:c r="A39" s="20" t="d">
        <x:v>2018-06-01T00:00:00.000Z</x:v>
      </x:c>
      <x:c r="B39" s="19" t="n">
        <x:f>200*('Месяцы_рынки'!C24-'Месяцы_рынки'!C12)/('Месяцы_рынки'!C24+'Месяцы_рынки'!C12)</x:f>
        <x:v>30.954212032951883</x:v>
      </x:c>
      <x:c r="C39" s="19" t="n">
        <x:f>200*('Месяцы_рынки'!D24-'Месяцы_рынки'!D12)/('Месяцы_рынки'!D24+'Месяцы_рынки'!D12)</x:f>
        <x:v>-9.003894549743675</x:v>
      </x:c>
      <x:c r="D39" s="19" t="n">
        <x:f>200*('Месяцы_рынки'!E24-'Месяцы_рынки'!E12)/('Месяцы_рынки'!E24+'Месяцы_рынки'!E12)</x:f>
        <x:v>6.143864730700127</x:v>
      </x:c>
      <x:c r="E39" s="19" t="n">
        <x:f>200*('Месяцы_рынки'!F24-'Месяцы_рынки'!F12)/('Месяцы_рынки'!F24+'Месяцы_рынки'!F12)</x:f>
        <x:v>41.171497179054796</x:v>
      </x:c>
      <x:c r="F39" s="19" t="n">
        <x:f>200*('Месяцы_рынки'!G24-'Месяцы_рынки'!G12)/('Месяцы_рынки'!G24+'Месяцы_рынки'!G12)</x:f>
        <x:v>28.32163339530509</x:v>
      </x:c>
      <x:c r="G39" s="19" t="n">
        <x:f>200*('Месяцы_рынки'!H24-'Месяцы_рынки'!H12)/('Месяцы_рынки'!H24+'Месяцы_рынки'!H12)</x:f>
        <x:v>-1.0770599061849964</x:v>
      </x:c>
      <x:c r="H39" s="19" t="n">
        <x:f>200*('Месяцы_рынки'!I24-'Месяцы_рынки'!I12)/('Месяцы_рынки'!I24+'Месяцы_рынки'!I12)</x:f>
        <x:v>-6.696785098875637</x:v>
      </x:c>
      <x:c r="I39" s="19" t="n">
        <x:f>200*('Месяцы_рынки'!J24-'Месяцы_рынки'!J12)/('Месяцы_рынки'!J24+'Месяцы_рынки'!J12)</x:f>
        <x:v>7.047581130535038</x:v>
      </x:c>
      <x:c r="J39" s="19" t="n">
        <x:f>200*('Месяцы_рынки'!K24-'Месяцы_рынки'!K12)/('Месяцы_рынки'!K24+'Месяцы_рынки'!K12)</x:f>
        <x:v>-12.46892041056178</x:v>
      </x:c>
    </x:row>
    <x:row r="40" ht="22" customHeight="1">
      <x:c r="A40" s="20" t="d">
        <x:v>2018-07-01T00:00:00.000Z</x:v>
      </x:c>
      <x:c r="B40" s="19" t="n">
        <x:f>200*('Месяцы_рынки'!C25-'Месяцы_рынки'!C13)/('Месяцы_рынки'!C25+'Месяцы_рынки'!C13)</x:f>
        <x:v>16.206294247554762</x:v>
      </x:c>
      <x:c r="C40" s="19" t="n">
        <x:f>200*('Месяцы_рынки'!D25-'Месяцы_рынки'!D13)/('Месяцы_рынки'!D25+'Месяцы_рынки'!D13)</x:f>
        <x:v>10.567622871128732</x:v>
      </x:c>
      <x:c r="D40" s="19" t="n">
        <x:f>200*('Месяцы_рынки'!E25-'Месяцы_рынки'!E13)/('Месяцы_рынки'!E25+'Месяцы_рынки'!E13)</x:f>
        <x:v>9.914693261650784</x:v>
      </x:c>
      <x:c r="E40" s="19" t="n">
        <x:f>200*('Месяцы_рынки'!F25-'Месяцы_рынки'!F13)/('Месяцы_рынки'!F25+'Месяцы_рынки'!F13)</x:f>
        <x:v>66.23182821357317</x:v>
      </x:c>
      <x:c r="F40" s="19" t="n">
        <x:f>200*('Месяцы_рынки'!G25-'Месяцы_рынки'!G13)/('Месяцы_рынки'!G25+'Месяцы_рынки'!G13)</x:f>
        <x:v>30.213857874828857</x:v>
      </x:c>
      <x:c r="G40" s="19" t="n">
        <x:f>200*('Месяцы_рынки'!H25-'Месяцы_рынки'!H13)/('Месяцы_рынки'!H25+'Месяцы_рынки'!H13)</x:f>
        <x:v>9.267970476505456</x:v>
      </x:c>
      <x:c r="H40" s="19" t="n">
        <x:f>200*('Месяцы_рынки'!I25-'Месяцы_рынки'!I13)/('Месяцы_рынки'!I25+'Месяцы_рынки'!I13)</x:f>
        <x:v>-4.023938225095553</x:v>
      </x:c>
      <x:c r="I40" s="19" t="n">
        <x:f>200*('Месяцы_рынки'!J25-'Месяцы_рынки'!J13)/('Месяцы_рынки'!J25+'Месяцы_рынки'!J13)</x:f>
        <x:v>2.4792318473835353</x:v>
      </x:c>
      <x:c r="J40" s="19" t="n">
        <x:f>200*('Месяцы_рынки'!K25-'Месяцы_рынки'!K13)/('Месяцы_рынки'!K25+'Месяцы_рынки'!K13)</x:f>
        <x:v>-16.8761086589237</x:v>
      </x:c>
    </x:row>
    <x:row r="41" ht="22" customHeight="1">
      <x:c r="A41" s="20" t="d">
        <x:v>2018-08-01T00:00:00.000Z</x:v>
      </x:c>
      <x:c r="B41" s="19" t="n">
        <x:f>200*('Месяцы_рынки'!C26-'Месяцы_рынки'!C14)/('Месяцы_рынки'!C26+'Месяцы_рынки'!C14)</x:f>
        <x:v>-8.646232699329838</x:v>
      </x:c>
      <x:c r="C41" s="19" t="n">
        <x:f>200*('Месяцы_рынки'!D26-'Месяцы_рынки'!D14)/('Месяцы_рынки'!D26+'Месяцы_рынки'!D14)</x:f>
        <x:v>24.63961022219444</x:v>
      </x:c>
      <x:c r="D41" s="19" t="n">
        <x:f>200*('Месяцы_рынки'!E26-'Месяцы_рынки'!E14)/('Месяцы_рынки'!E26+'Месяцы_рынки'!E14)</x:f>
        <x:v>0.8909819731245269</x:v>
      </x:c>
      <x:c r="E41" s="19" t="n">
        <x:f>200*('Месяцы_рынки'!F26-'Месяцы_рынки'!F14)/('Месяцы_рынки'!F26+'Месяцы_рынки'!F14)</x:f>
        <x:v>53.52927822478045</x:v>
      </x:c>
      <x:c r="F41" s="19" t="n">
        <x:f>200*('Месяцы_рынки'!G26-'Месяцы_рынки'!G14)/('Месяцы_рынки'!G26+'Месяцы_рынки'!G14)</x:f>
        <x:v>30.143537404564185</x:v>
      </x:c>
      <x:c r="G41" s="19" t="n">
        <x:f>200*('Месяцы_рынки'!H26-'Месяцы_рынки'!H14)/('Месяцы_рынки'!H26+'Месяцы_рынки'!H14)</x:f>
        <x:v>5.9188313986527845</x:v>
      </x:c>
      <x:c r="H41" s="19" t="n">
        <x:f>200*('Месяцы_рынки'!I26-'Месяцы_рынки'!I14)/('Месяцы_рынки'!I26+'Месяцы_рынки'!I14)</x:f>
        <x:v>-10.786498477358153</x:v>
      </x:c>
      <x:c r="I41" s="19" t="n">
        <x:f>200*('Месяцы_рынки'!J26-'Месяцы_рынки'!J14)/('Месяцы_рынки'!J26+'Месяцы_рынки'!J14)</x:f>
        <x:v>-8.137614973797117</x:v>
      </x:c>
      <x:c r="J41" s="19" t="n">
        <x:f>200*('Месяцы_рынки'!K26-'Месяцы_рынки'!K14)/('Месяцы_рынки'!K26+'Месяцы_рынки'!K14)</x:f>
        <x:v>-17.462328535525057</x:v>
      </x:c>
    </x:row>
    <x:row r="42" ht="22" customHeight="1">
      <x:c r="A42" s="20" t="d">
        <x:v>2018-09-01T00:00:00.000Z</x:v>
      </x:c>
      <x:c r="B42" s="19" t="n">
        <x:f>200*('Месяцы_рынки'!C27-'Месяцы_рынки'!C15)/('Месяцы_рынки'!C27+'Месяцы_рынки'!C15)</x:f>
        <x:v>-34.96709090757382</x:v>
      </x:c>
      <x:c r="C42" s="19" t="n">
        <x:f>200*('Месяцы_рынки'!D27-'Месяцы_рынки'!D15)/('Месяцы_рынки'!D27+'Месяцы_рынки'!D15)</x:f>
        <x:v>26.830613447226625</x:v>
      </x:c>
      <x:c r="D42" s="19" t="n">
        <x:f>200*('Месяцы_рынки'!E27-'Месяцы_рынки'!E15)/('Месяцы_рынки'!E27+'Месяцы_рынки'!E15)</x:f>
        <x:v>1.9499161914017908</x:v>
      </x:c>
      <x:c r="E42" s="19" t="n">
        <x:f>200*('Месяцы_рынки'!F27-'Месяцы_рынки'!F15)/('Месяцы_рынки'!F27+'Месяцы_рынки'!F15)</x:f>
        <x:v>27.425500692442455</x:v>
      </x:c>
      <x:c r="F42" s="19" t="n">
        <x:f>200*('Месяцы_рынки'!G27-'Месяцы_рынки'!G15)/('Месяцы_рынки'!G27+'Месяцы_рынки'!G15)</x:f>
        <x:v>25.114806614227035</x:v>
      </x:c>
      <x:c r="G42" s="19" t="n">
        <x:f>200*('Месяцы_рынки'!H27-'Месяцы_рынки'!H15)/('Месяцы_рынки'!H27+'Месяцы_рынки'!H15)</x:f>
        <x:v>3.161188424479193</x:v>
      </x:c>
      <x:c r="H42" s="19" t="n">
        <x:f>200*('Месяцы_рынки'!I27-'Месяцы_рынки'!I15)/('Месяцы_рынки'!I27+'Месяцы_рынки'!I15)</x:f>
        <x:v>-14.395377165960966</x:v>
      </x:c>
      <x:c r="I42" s="19" t="n">
        <x:f>200*('Месяцы_рынки'!J27-'Месяцы_рынки'!J15)/('Месяцы_рынки'!J27+'Месяцы_рынки'!J15)</x:f>
        <x:v>-13.20827646253867</x:v>
      </x:c>
      <x:c r="J42" s="19" t="n">
        <x:f>200*('Месяцы_рынки'!K27-'Месяцы_рынки'!K15)/('Месяцы_рынки'!K27+'Месяцы_рынки'!K15)</x:f>
        <x:v>-15.350831947653598</x:v>
      </x:c>
    </x:row>
    <x:row r="43" ht="22" customHeight="1">
      <x:c r="A43" s="20" t="d">
        <x:v>2018-10-01T00:00:00.000Z</x:v>
      </x:c>
      <x:c r="B43" s="19" t="n">
        <x:f>200*('Месяцы_рынки'!C28-'Месяцы_рынки'!C16)/('Месяцы_рынки'!C28+'Месяцы_рынки'!C16)</x:f>
        <x:v>20.157097210078156</x:v>
      </x:c>
      <x:c r="C43" s="19" t="n">
        <x:f>200*('Месяцы_рынки'!D28-'Месяцы_рынки'!D16)/('Месяцы_рынки'!D28+'Месяцы_рынки'!D16)</x:f>
        <x:v>33.89320951845083</x:v>
      </x:c>
      <x:c r="D43" s="19" t="n">
        <x:f>200*('Месяцы_рынки'!E28-'Месяцы_рынки'!E16)/('Месяцы_рынки'!E28+'Месяцы_рынки'!E16)</x:f>
        <x:v>-6.555010101571629</x:v>
      </x:c>
      <x:c r="E43" s="19" t="n">
        <x:f>200*('Месяцы_рынки'!F28-'Месяцы_рынки'!F16)/('Месяцы_рынки'!F28+'Месяцы_рынки'!F16)</x:f>
        <x:v>60.55730101118494</x:v>
      </x:c>
      <x:c r="F43" s="19" t="n">
        <x:f>200*('Месяцы_рынки'!G28-'Месяцы_рынки'!G16)/('Месяцы_рынки'!G28+'Месяцы_рынки'!G16)</x:f>
        <x:v>32.9051187137966</x:v>
      </x:c>
      <x:c r="G43" s="19" t="n">
        <x:f>200*('Месяцы_рынки'!H28-'Месяцы_рынки'!H16)/('Месяцы_рынки'!H28+'Месяцы_рынки'!H16)</x:f>
        <x:v>24.33288149152578</x:v>
      </x:c>
      <x:c r="H43" s="19" t="n">
        <x:f>200*('Месяцы_рынки'!I28-'Месяцы_рынки'!I16)/('Месяцы_рынки'!I28+'Месяцы_рынки'!I16)</x:f>
        <x:v>-9.175691981041142</x:v>
      </x:c>
      <x:c r="I43" s="19" t="n">
        <x:f>200*('Месяцы_рынки'!J28-'Месяцы_рынки'!J16)/('Месяцы_рынки'!J28+'Месяцы_рынки'!J16)</x:f>
        <x:v>-11.954751962756768</x:v>
      </x:c>
      <x:c r="J43" s="19" t="n">
        <x:f>200*('Месяцы_рынки'!K28-'Месяцы_рынки'!K16)/('Месяцы_рынки'!K28+'Месяцы_рынки'!K16)</x:f>
        <x:v>-17.540034512428534</x:v>
      </x:c>
    </x:row>
    <x:row r="44" ht="22" customHeight="1">
      <x:c r="A44" s="20" t="d">
        <x:v>2018-11-01T00:00:00.000Z</x:v>
      </x:c>
      <x:c r="B44" s="19" t="n">
        <x:f>200*('Месяцы_рынки'!C29-'Месяцы_рынки'!C17)/('Месяцы_рынки'!C29+'Месяцы_рынки'!C17)</x:f>
        <x:v>7.164521158822594</x:v>
      </x:c>
      <x:c r="C44" s="19" t="n">
        <x:f>200*('Месяцы_рынки'!D29-'Месяцы_рынки'!D17)/('Месяцы_рынки'!D29+'Месяцы_рынки'!D17)</x:f>
        <x:v>17.792533544936816</x:v>
      </x:c>
      <x:c r="D44" s="19" t="n">
        <x:f>200*('Месяцы_рынки'!E29-'Месяцы_рынки'!E17)/('Месяцы_рынки'!E29+'Месяцы_рынки'!E17)</x:f>
        <x:v>3.1000576514162135</x:v>
      </x:c>
      <x:c r="E44" s="19" t="n">
        <x:f>200*('Месяцы_рынки'!F29-'Месяцы_рынки'!F17)/('Месяцы_рынки'!F29+'Месяцы_рынки'!F17)</x:f>
        <x:v>-21.982430790845154</x:v>
      </x:c>
      <x:c r="F44" s="19" t="n">
        <x:f>200*('Месяцы_рынки'!G29-'Месяцы_рынки'!G17)/('Месяцы_рынки'!G29+'Месяцы_рынки'!G17)</x:f>
        <x:v>24.4470503185227</x:v>
      </x:c>
      <x:c r="G44" s="19" t="n">
        <x:f>200*('Месяцы_рынки'!H29-'Месяцы_рынки'!H17)/('Месяцы_рынки'!H29+'Месяцы_рынки'!H17)</x:f>
        <x:v>16.036300938699497</x:v>
      </x:c>
      <x:c r="H44" s="19" t="n">
        <x:f>200*('Месяцы_рынки'!I29-'Месяцы_рынки'!I17)/('Месяцы_рынки'!I29+'Месяцы_рынки'!I17)</x:f>
        <x:v>-15.304972969706293</x:v>
      </x:c>
      <x:c r="I44" s="19" t="n">
        <x:f>200*('Месяцы_рынки'!J29-'Месяцы_рынки'!J17)/('Месяцы_рынки'!J29+'Месяцы_рынки'!J17)</x:f>
        <x:v>-7.234528538982684</x:v>
      </x:c>
      <x:c r="J44" s="19" t="n">
        <x:f>200*('Месяцы_рынки'!K29-'Месяцы_рынки'!K17)/('Месяцы_рынки'!K29+'Месяцы_рынки'!K17)</x:f>
        <x:v>-25.668897112264197</x:v>
      </x:c>
    </x:row>
    <x:row r="45" ht="22" customHeight="1">
      <x:c r="A45" s="20" t="d">
        <x:v>2018-12-01T00:00:00.000Z</x:v>
      </x:c>
      <x:c r="B45" s="19" t="n">
        <x:f>200*('Месяцы_рынки'!C30-'Месяцы_рынки'!C18)/('Месяцы_рынки'!C30+'Месяцы_рынки'!C18)</x:f>
        <x:v>-10.943942426968167</x:v>
      </x:c>
      <x:c r="C45" s="19" t="n">
        <x:f>200*('Месяцы_рынки'!D30-'Месяцы_рынки'!D18)/('Месяцы_рынки'!D30+'Месяцы_рынки'!D18)</x:f>
        <x:v>12.140705956823062</x:v>
      </x:c>
      <x:c r="D45" s="19" t="n">
        <x:f>200*('Месяцы_рынки'!E30-'Месяцы_рынки'!E18)/('Месяцы_рынки'!E30+'Месяцы_рынки'!E18)</x:f>
        <x:v>-3.987494402706198</x:v>
      </x:c>
      <x:c r="E45" s="19" t="n">
        <x:f>200*('Месяцы_рынки'!F30-'Месяцы_рынки'!F18)/('Месяцы_рынки'!F30+'Месяцы_рынки'!F18)</x:f>
        <x:v>-47.17820145097404</x:v>
      </x:c>
      <x:c r="F45" s="19" t="n">
        <x:f>200*('Месяцы_рынки'!G30-'Месяцы_рынки'!G18)/('Месяцы_рынки'!G30+'Месяцы_рынки'!G18)</x:f>
        <x:v>13.986106677742084</x:v>
      </x:c>
      <x:c r="G45" s="19" t="n">
        <x:f>200*('Месяцы_рынки'!H30-'Месяцы_рынки'!H18)/('Месяцы_рынки'!H30+'Месяцы_рынки'!H18)</x:f>
        <x:v>2.870263438686796</x:v>
      </x:c>
      <x:c r="H45" s="19" t="n">
        <x:f>200*('Месяцы_рынки'!I30-'Месяцы_рынки'!I18)/('Месяцы_рынки'!I30+'Месяцы_рынки'!I18)</x:f>
        <x:v>-14.598273243160461</x:v>
      </x:c>
      <x:c r="I45" s="19" t="n">
        <x:f>200*('Месяцы_рынки'!J30-'Месяцы_рынки'!J18)/('Месяцы_рынки'!J30+'Месяцы_рынки'!J18)</x:f>
        <x:v>-9.947415790297626</x:v>
      </x:c>
      <x:c r="J45" s="19" t="n">
        <x:f>200*('Месяцы_рынки'!K30-'Месяцы_рынки'!K18)/('Месяцы_рынки'!K30+'Месяцы_рынки'!K18)</x:f>
        <x:v>-36.82593532529401</x:v>
      </x:c>
    </x:row>
    <x:row r="46" ht="22" customHeight="1">
      <x:c r="A46" s="20" t="d">
        <x:v>2019-01-01T00:00:00.000Z</x:v>
      </x:c>
      <x:c r="B46" s="19" t="n">
        <x:f>200*('Месяцы_рынки'!C31-'Месяцы_рынки'!C19)/('Месяцы_рынки'!C31+'Месяцы_рынки'!C19)</x:f>
        <x:v>3.4551654254284054</x:v>
      </x:c>
      <x:c r="C46" s="19" t="n">
        <x:f>200*('Месяцы_рынки'!D31-'Месяцы_рынки'!D19)/('Месяцы_рынки'!D31+'Месяцы_рынки'!D19)</x:f>
        <x:v>28.07660486912153</x:v>
      </x:c>
      <x:c r="D46" s="19" t="n">
        <x:f>200*('Месяцы_рынки'!E31-'Месяцы_рынки'!E19)/('Месяцы_рынки'!E31+'Месяцы_рынки'!E19)</x:f>
        <x:v>-20.35370199612173</x:v>
      </x:c>
      <x:c r="E46" s="19" t="n">
        <x:f>200*('Месяцы_рынки'!F31-'Месяцы_рынки'!F19)/('Месяцы_рынки'!F31+'Месяцы_рынки'!F19)</x:f>
        <x:v>-35.72175876651262</x:v>
      </x:c>
      <x:c r="F46" s="19" t="n">
        <x:f>200*('Месяцы_рынки'!G31-'Месяцы_рынки'!G19)/('Месяцы_рынки'!G31+'Месяцы_рынки'!G19)</x:f>
        <x:v>2.3653999977635825</x:v>
      </x:c>
      <x:c r="G46" s="19" t="n">
        <x:f>200*('Месяцы_рынки'!H31-'Месяцы_рынки'!H19)/('Месяцы_рынки'!H31+'Месяцы_рынки'!H19)</x:f>
        <x:v>11.694267013040172</x:v>
      </x:c>
      <x:c r="H46" s="19" t="n">
        <x:f>200*('Месяцы_рынки'!I31-'Месяцы_рынки'!I19)/('Месяцы_рынки'!I31+'Месяцы_рынки'!I19)</x:f>
        <x:v>-5.963553243950885</x:v>
      </x:c>
      <x:c r="I46" s="19" t="n">
        <x:f>200*('Месяцы_рынки'!J31-'Месяцы_рынки'!J19)/('Месяцы_рынки'!J31+'Месяцы_рынки'!J19)</x:f>
        <x:v>-5.763557441220594</x:v>
      </x:c>
      <x:c r="J46" s="19" t="n">
        <x:f>200*('Месяцы_рынки'!K31-'Месяцы_рынки'!K19)/('Месяцы_рынки'!K31+'Месяцы_рынки'!K19)</x:f>
        <x:v>-17.273478396725068</x:v>
      </x:c>
    </x:row>
    <x:row r="47" ht="22" customHeight="1">
      <x:c r="A47" s="20" t="d">
        <x:v>2019-02-01T00:00:00.000Z</x:v>
      </x:c>
      <x:c r="B47" s="19" t="n">
        <x:f>200*('Месяцы_рынки'!C32-'Месяцы_рынки'!C20)/('Месяцы_рынки'!C32+'Месяцы_рынки'!C20)</x:f>
        <x:v>-30.131010546119597</x:v>
      </x:c>
      <x:c r="C47" s="19" t="n">
        <x:f>200*('Месяцы_рынки'!D32-'Месяцы_рынки'!D20)/('Месяцы_рынки'!D32+'Месяцы_рынки'!D20)</x:f>
        <x:v>38.044401255688484</x:v>
      </x:c>
      <x:c r="D47" s="19" t="n">
        <x:f>200*('Месяцы_рынки'!E32-'Месяцы_рынки'!E20)/('Месяцы_рынки'!E32+'Месяцы_рынки'!E20)</x:f>
        <x:v>-19.430162003575287</x:v>
      </x:c>
      <x:c r="E47" s="19" t="n">
        <x:f>200*('Месяцы_рынки'!F32-'Месяцы_рынки'!F20)/('Месяцы_рынки'!F32+'Месяцы_рынки'!F20)</x:f>
        <x:v>10.124692255888286</x:v>
      </x:c>
      <x:c r="F47" s="19" t="n">
        <x:f>200*('Месяцы_рынки'!G32-'Месяцы_рынки'!G20)/('Месяцы_рынки'!G32+'Месяцы_рынки'!G20)</x:f>
        <x:v>-55.19438051727772</x:v>
      </x:c>
      <x:c r="G47" s="19" t="n">
        <x:f>200*('Месяцы_рынки'!H32-'Месяцы_рынки'!H20)/('Месяцы_рынки'!H32+'Месяцы_рынки'!H20)</x:f>
        <x:v>0.5309714506932866</x:v>
      </x:c>
      <x:c r="H47" s="19" t="n">
        <x:f>200*('Месяцы_рынки'!I32-'Месяцы_рынки'!I20)/('Месяцы_рынки'!I32+'Месяцы_рынки'!I20)</x:f>
        <x:v>-11.916252120740973</x:v>
      </x:c>
      <x:c r="I47" s="19" t="n">
        <x:f>200*('Месяцы_рынки'!J32-'Месяцы_рынки'!J20)/('Месяцы_рынки'!J32+'Месяцы_рынки'!J20)</x:f>
        <x:v>-21.488509105223862</x:v>
      </x:c>
      <x:c r="J47" s="19" t="n">
        <x:f>200*('Месяцы_рынки'!K32-'Месяцы_рынки'!K20)/('Месяцы_рынки'!K32+'Месяцы_рынки'!K20)</x:f>
        <x:v>-22.18125910828764</x:v>
      </x:c>
    </x:row>
    <x:row r="48" ht="22" customHeight="1">
      <x:c r="A48" s="20" t="d">
        <x:v>2019-03-01T00:00:00.000Z</x:v>
      </x:c>
      <x:c r="B48" s="19" t="n">
        <x:f>200*('Месяцы_рынки'!C33-'Месяцы_рынки'!C21)/('Месяцы_рынки'!C33+'Месяцы_рынки'!C21)</x:f>
        <x:v>-29.912043716778545</x:v>
      </x:c>
      <x:c r="C48" s="19" t="n">
        <x:f>200*('Месяцы_рынки'!D33-'Месяцы_рынки'!D21)/('Месяцы_рынки'!D33+'Месяцы_рынки'!D21)</x:f>
        <x:v>29.5959957300258</x:v>
      </x:c>
      <x:c r="D48" s="19" t="n">
        <x:f>200*('Месяцы_рынки'!E33-'Месяцы_рынки'!E21)/('Месяцы_рынки'!E33+'Месяцы_рынки'!E21)</x:f>
        <x:v>-17.144274733887563</x:v>
      </x:c>
      <x:c r="E48" s="19" t="n">
        <x:f>200*('Месяцы_рынки'!F33-'Месяцы_рынки'!F21)/('Месяцы_рынки'!F33+'Месяцы_рынки'!F21)</x:f>
        <x:v>42.48542785975662</x:v>
      </x:c>
      <x:c r="F48" s="19" t="n">
        <x:f>200*('Месяцы_рынки'!G33-'Месяцы_рынки'!G21)/('Месяцы_рынки'!G33+'Месяцы_рынки'!G21)</x:f>
        <x:v>-51.65063271203353</x:v>
      </x:c>
      <x:c r="G48" s="19" t="n">
        <x:f>200*('Месяцы_рынки'!H33-'Месяцы_рынки'!H21)/('Месяцы_рынки'!H33+'Месяцы_рынки'!H21)</x:f>
        <x:v>-12.019780733778092</x:v>
      </x:c>
      <x:c r="H48" s="19" t="n">
        <x:f>200*('Месяцы_рынки'!I33-'Месяцы_рынки'!I21)/('Месяцы_рынки'!I33+'Месяцы_рынки'!I21)</x:f>
        <x:v>-15.137987225615039</x:v>
      </x:c>
      <x:c r="I48" s="19" t="n">
        <x:f>200*('Месяцы_рынки'!J33-'Месяцы_рынки'!J21)/('Месяцы_рынки'!J33+'Месяцы_рынки'!J21)</x:f>
        <x:v>-17.281974796366796</x:v>
      </x:c>
      <x:c r="J48" s="19" t="n">
        <x:f>200*('Месяцы_рынки'!K33-'Месяцы_рынки'!K21)/('Месяцы_рынки'!K33+'Месяцы_рынки'!K21)</x:f>
        <x:v>-13.95539313470546</x:v>
      </x:c>
    </x:row>
    <x:row r="49" ht="22" customHeight="1">
      <x:c r="A49" s="20" t="d">
        <x:v>2019-04-01T00:00:00.000Z</x:v>
      </x:c>
      <x:c r="B49" s="19" t="n">
        <x:f>200*('Месяцы_рынки'!C34-'Месяцы_рынки'!C22)/('Месяцы_рынки'!C34+'Месяцы_рынки'!C22)</x:f>
        <x:v>-40.26278187171629</x:v>
      </x:c>
      <x:c r="C49" s="19" t="n">
        <x:f>200*('Месяцы_рынки'!D34-'Месяцы_рынки'!D22)/('Месяцы_рынки'!D34+'Месяцы_рынки'!D22)</x:f>
        <x:v>23.378902134007625</x:v>
      </x:c>
      <x:c r="D49" s="19" t="n">
        <x:f>200*('Месяцы_рынки'!E34-'Месяцы_рынки'!E22)/('Месяцы_рынки'!E34+'Месяцы_рынки'!E22)</x:f>
        <x:v>-5.250624260822203</x:v>
      </x:c>
      <x:c r="E49" s="19" t="n">
        <x:f>200*('Месяцы_рынки'!F34-'Месяцы_рынки'!F22)/('Месяцы_рынки'!F34+'Месяцы_рынки'!F22)</x:f>
        <x:v>27.68668017445232</x:v>
      </x:c>
      <x:c r="F49" s="19" t="n">
        <x:f>200*('Месяцы_рынки'!G34-'Месяцы_рынки'!G22)/('Месяцы_рынки'!G34+'Месяцы_рынки'!G22)</x:f>
        <x:v>-53.0478791763307</x:v>
      </x:c>
      <x:c r="G49" s="19" t="n">
        <x:f>200*('Месяцы_рынки'!H34-'Месяцы_рынки'!H22)/('Месяцы_рынки'!H34+'Месяцы_рынки'!H22)</x:f>
        <x:v>0.9034112279776568</x:v>
      </x:c>
      <x:c r="H49" s="19" t="n">
        <x:f>200*('Месяцы_рынки'!I34-'Месяцы_рынки'!I22)/('Месяцы_рынки'!I34+'Месяцы_рынки'!I22)</x:f>
        <x:v>-5.502454113301272</x:v>
      </x:c>
      <x:c r="I49" s="19" t="n">
        <x:f>200*('Месяцы_рынки'!J34-'Месяцы_рынки'!J22)/('Месяцы_рынки'!J34+'Месяцы_рынки'!J22)</x:f>
        <x:v>-18.13859403705494</x:v>
      </x:c>
      <x:c r="J49" s="19" t="n">
        <x:f>200*('Месяцы_рынки'!K34-'Месяцы_рынки'!K22)/('Месяцы_рынки'!K34+'Месяцы_рынки'!K22)</x:f>
        <x:v>-18.034667888447473</x:v>
      </x:c>
    </x:row>
    <x:row r="50" ht="22" customHeight="1">
      <x:c r="A50" s="20" t="d">
        <x:v>2019-05-01T00:00:00.000Z</x:v>
      </x:c>
      <x:c r="B50" s="19" t="n">
        <x:f>200*('Месяцы_рынки'!C35-'Месяцы_рынки'!C23)/('Месяцы_рынки'!C35+'Месяцы_рынки'!C23)</x:f>
        <x:v>-1.0222484988163736</x:v>
      </x:c>
      <x:c r="C50" s="19" t="n">
        <x:f>200*('Месяцы_рынки'!D35-'Месяцы_рынки'!D23)/('Месяцы_рынки'!D35+'Месяцы_рынки'!D23)</x:f>
        <x:v>23.399108073580265</x:v>
      </x:c>
      <x:c r="D50" s="19" t="n">
        <x:f>200*('Месяцы_рынки'!E35-'Месяцы_рынки'!E23)/('Месяцы_рынки'!E35+'Месяцы_рынки'!E23)</x:f>
        <x:v>8.834457538322825</x:v>
      </x:c>
      <x:c r="E50" s="19" t="n">
        <x:f>200*('Месяцы_рынки'!F35-'Месяцы_рынки'!F23)/('Месяцы_рынки'!F35+'Месяцы_рынки'!F23)</x:f>
        <x:v>-6.571464675250504</x:v>
      </x:c>
      <x:c r="F50" s="19" t="n">
        <x:f>200*('Месяцы_рынки'!G35-'Месяцы_рынки'!G23)/('Месяцы_рынки'!G35+'Месяцы_рынки'!G23)</x:f>
        <x:v>-87.80658426051272</x:v>
      </x:c>
      <x:c r="G50" s="19" t="n">
        <x:f>200*('Месяцы_рынки'!H35-'Месяцы_рынки'!H23)/('Месяцы_рынки'!H35+'Месяцы_рынки'!H23)</x:f>
        <x:v>1.921881850141746</x:v>
      </x:c>
      <x:c r="H50" s="19" t="n">
        <x:f>200*('Месяцы_рынки'!I35-'Месяцы_рынки'!I23)/('Месяцы_рынки'!I35+'Месяцы_рынки'!I23)</x:f>
        <x:v>-13.125116874060726</x:v>
      </x:c>
      <x:c r="I50" s="19" t="n">
        <x:f>200*('Месяцы_рынки'!J35-'Месяцы_рынки'!J23)/('Месяцы_рынки'!J35+'Месяцы_рынки'!J23)</x:f>
        <x:v>-20.52346889457191</x:v>
      </x:c>
      <x:c r="J50" s="19" t="n">
        <x:f>200*('Месяцы_рынки'!K35-'Месяцы_рынки'!K23)/('Месяцы_рынки'!K35+'Месяцы_рынки'!K23)</x:f>
        <x:v>-5.71431638469451</x:v>
      </x:c>
    </x:row>
    <x:row r="51" ht="22" customHeight="1">
      <x:c r="A51" s="20" t="d">
        <x:v>2019-06-01T00:00:00.000Z</x:v>
      </x:c>
      <x:c r="B51" s="19" t="n">
        <x:f>200*('Месяцы_рынки'!C36-'Месяцы_рынки'!C24)/('Месяцы_рынки'!C36+'Месяцы_рынки'!C24)</x:f>
        <x:v>-25.46599916310308</x:v>
      </x:c>
      <x:c r="C51" s="19" t="n">
        <x:f>200*('Месяцы_рынки'!D36-'Месяцы_рынки'!D24)/('Месяцы_рынки'!D36+'Месяцы_рынки'!D24)</x:f>
        <x:v>41.343911957096715</x:v>
      </x:c>
      <x:c r="D51" s="19" t="n">
        <x:f>200*('Месяцы_рынки'!E36-'Месяцы_рынки'!E24)/('Месяцы_рынки'!E36+'Месяцы_рынки'!E24)</x:f>
        <x:v>-7.183350544571942</x:v>
      </x:c>
      <x:c r="E51" s="19" t="n">
        <x:f>200*('Месяцы_рынки'!F36-'Месяцы_рынки'!F24)/('Месяцы_рынки'!F36+'Месяцы_рынки'!F24)</x:f>
        <x:v>3.1355836408015074</x:v>
      </x:c>
      <x:c r="F51" s="19" t="n">
        <x:f>200*('Месяцы_рынки'!G36-'Месяцы_рынки'!G24)/('Месяцы_рынки'!G36+'Месяцы_рынки'!G24)</x:f>
        <x:v>-81.78150476783125</x:v>
      </x:c>
      <x:c r="G51" s="19" t="n">
        <x:f>200*('Месяцы_рынки'!H36-'Месяцы_рынки'!H24)/('Месяцы_рынки'!H36+'Месяцы_рынки'!H24)</x:f>
        <x:v>-1.7210062945829818</x:v>
      </x:c>
      <x:c r="H51" s="19" t="n">
        <x:f>200*('Месяцы_рынки'!I36-'Месяцы_рынки'!I24)/('Месяцы_рынки'!I36+'Месяцы_рынки'!I24)</x:f>
        <x:v>-7.764561426378521</x:v>
      </x:c>
      <x:c r="I51" s="19" t="n">
        <x:f>200*('Месяцы_рынки'!J36-'Месяцы_рынки'!J24)/('Месяцы_рынки'!J36+'Месяцы_рынки'!J24)</x:f>
        <x:v>-6.40239650344299</x:v>
      </x:c>
      <x:c r="J51" s="19" t="n">
        <x:f>200*('Месяцы_рынки'!K36-'Месяцы_рынки'!K24)/('Месяцы_рынки'!K36+'Месяцы_рынки'!K24)</x:f>
        <x:v>-11.95806356734765</x:v>
      </x:c>
    </x:row>
    <x:row r="52" ht="22" customHeight="1">
      <x:c r="A52" s="20" t="d">
        <x:v>2019-07-01T00:00:00.000Z</x:v>
      </x:c>
      <x:c r="B52" s="19" t="n">
        <x:f>200*('Месяцы_рынки'!C37-'Месяцы_рынки'!C25)/('Месяцы_рынки'!C37+'Месяцы_рынки'!C25)</x:f>
        <x:v>-23.98512538882825</x:v>
      </x:c>
      <x:c r="C52" s="19" t="n">
        <x:f>200*('Месяцы_рынки'!D37-'Месяцы_рынки'!D25)/('Месяцы_рынки'!D37+'Месяцы_рынки'!D25)</x:f>
        <x:v>27.38688670581527</x:v>
      </x:c>
      <x:c r="D52" s="19" t="n">
        <x:f>200*('Месяцы_рынки'!E37-'Месяцы_рынки'!E25)/('Месяцы_рынки'!E37+'Месяцы_рынки'!E25)</x:f>
        <x:v>1.1384117363155335</x:v>
      </x:c>
      <x:c r="E52" s="19" t="n">
        <x:f>200*('Месяцы_рынки'!F37-'Месяцы_рынки'!F25)/('Месяцы_рынки'!F37+'Месяцы_рынки'!F25)</x:f>
        <x:v>-10.83755872065165</x:v>
      </x:c>
      <x:c r="F52" s="19" t="n">
        <x:f>200*('Месяцы_рынки'!G37-'Месяцы_рынки'!G25)/('Месяцы_рынки'!G37+'Месяцы_рынки'!G25)</x:f>
        <x:v>-79.37835006817772</x:v>
      </x:c>
      <x:c r="G52" s="19" t="n">
        <x:f>200*('Месяцы_рынки'!H37-'Месяцы_рынки'!H25)/('Месяцы_рынки'!H37+'Месяцы_рынки'!H25)</x:f>
        <x:v>5.4270912371984785</x:v>
      </x:c>
      <x:c r="H52" s="19" t="n">
        <x:f>200*('Месяцы_рынки'!I37-'Месяцы_рынки'!I25)/('Месяцы_рынки'!I37+'Месяцы_рынки'!I25)</x:f>
        <x:v>-12.421891911609144</x:v>
      </x:c>
      <x:c r="I52" s="19" t="n">
        <x:f>200*('Месяцы_рынки'!J37-'Месяцы_рынки'!J25)/('Месяцы_рынки'!J37+'Месяцы_рынки'!J25)</x:f>
        <x:v>3.8199502683972923</x:v>
      </x:c>
      <x:c r="J52" s="19" t="n">
        <x:f>200*('Месяцы_рынки'!K37-'Месяцы_рынки'!K25)/('Месяцы_рынки'!K37+'Месяцы_рынки'!K25)</x:f>
        <x:v>-0.0980432658118459</x:v>
      </x:c>
    </x:row>
    <x:row r="53" ht="22" customHeight="1">
      <x:c r="A53" s="20" t="d">
        <x:v>2019-08-01T00:00:00.000Z</x:v>
      </x:c>
      <x:c r="B53" s="19" t="n">
        <x:f>200*('Месяцы_рынки'!C38-'Месяцы_рынки'!C26)/('Месяцы_рынки'!C38+'Месяцы_рынки'!C26)</x:f>
        <x:v>1.8010162419283529</x:v>
      </x:c>
      <x:c r="C53" s="19" t="n">
        <x:f>200*('Месяцы_рынки'!D38-'Месяцы_рынки'!D26)/('Месяцы_рынки'!D38+'Месяцы_рынки'!D26)</x:f>
        <x:v>11.913235362638694</x:v>
      </x:c>
      <x:c r="D53" s="19" t="n">
        <x:f>200*('Месяцы_рынки'!E38-'Месяцы_рынки'!E26)/('Месяцы_рынки'!E38+'Месяцы_рынки'!E26)</x:f>
        <x:v>3.473224846906746</x:v>
      </x:c>
      <x:c r="E53" s="19" t="n">
        <x:f>200*('Месяцы_рынки'!F38-'Месяцы_рынки'!F26)/('Месяцы_рынки'!F38+'Месяцы_рынки'!F26)</x:f>
        <x:v>20.432875784414854</x:v>
      </x:c>
      <x:c r="F53" s="19" t="n">
        <x:f>200*('Месяцы_рынки'!G38-'Месяцы_рынки'!G26)/('Месяцы_рынки'!G38+'Месяцы_рынки'!G26)</x:f>
        <x:v>-73.82292601429852</x:v>
      </x:c>
      <x:c r="G53" s="19" t="n">
        <x:f>200*('Месяцы_рынки'!H38-'Месяцы_рынки'!H26)/('Месяцы_рынки'!H38+'Месяцы_рынки'!H26)</x:f>
        <x:v>12.505711644124826</x:v>
      </x:c>
      <x:c r="H53" s="19" t="n">
        <x:f>200*('Месяцы_рынки'!I38-'Месяцы_рынки'!I26)/('Месяцы_рынки'!I38+'Месяцы_рынки'!I26)</x:f>
        <x:v>-11.9557868001865</x:v>
      </x:c>
      <x:c r="I53" s="19" t="n">
        <x:f>200*('Месяцы_рынки'!J38-'Месяцы_рынки'!J26)/('Месяцы_рынки'!J38+'Месяцы_рынки'!J26)</x:f>
        <x:v>17.680483090271736</x:v>
      </x:c>
      <x:c r="J53" s="19" t="n">
        <x:f>200*('Месяцы_рынки'!K38-'Месяцы_рынки'!K26)/('Месяцы_рынки'!K38+'Месяцы_рынки'!K26)</x:f>
        <x:v>10.46430603921925</x:v>
      </x:c>
    </x:row>
    <x:row r="54" ht="22" customHeight="1">
      <x:c r="A54" s="20" t="d">
        <x:v>2019-09-01T00:00:00.000Z</x:v>
      </x:c>
      <x:c r="B54" s="19" t="n">
        <x:f>200*('Месяцы_рынки'!C39-'Месяцы_рынки'!C27)/('Месяцы_рынки'!C39+'Месяцы_рынки'!C27)</x:f>
        <x:v>28.515075004503927</x:v>
      </x:c>
      <x:c r="C54" s="19" t="n">
        <x:f>200*('Месяцы_рынки'!D39-'Месяцы_рынки'!D27)/('Месяцы_рынки'!D39+'Месяцы_рынки'!D27)</x:f>
        <x:v>4.023746724544965</x:v>
      </x:c>
      <x:c r="D54" s="19" t="n">
        <x:f>200*('Месяцы_рынки'!E39-'Месяцы_рынки'!E27)/('Месяцы_рынки'!E39+'Месяцы_рынки'!E27)</x:f>
        <x:v>19.759005885908707</x:v>
      </x:c>
      <x:c r="E54" s="19" t="n">
        <x:f>200*('Месяцы_рынки'!F39-'Месяцы_рынки'!F27)/('Месяцы_рынки'!F39+'Месяцы_рынки'!F27)</x:f>
        <x:v>24.350265979194972</x:v>
      </x:c>
      <x:c r="F54" s="19" t="n">
        <x:f>200*('Месяцы_рынки'!G39-'Месяцы_рынки'!G27)/('Месяцы_рынки'!G39+'Месяцы_рынки'!G27)</x:f>
        <x:v>-37.02674873981023</x:v>
      </x:c>
      <x:c r="G54" s="19" t="n">
        <x:f>200*('Месяцы_рынки'!H39-'Месяцы_рынки'!H27)/('Месяцы_рынки'!H39+'Месяцы_рынки'!H27)</x:f>
        <x:v>31.24672869828582</x:v>
      </x:c>
      <x:c r="H54" s="19" t="n">
        <x:f>200*('Месяцы_рынки'!I39-'Месяцы_рынки'!I27)/('Месяцы_рынки'!I39+'Месяцы_рынки'!I27)</x:f>
        <x:v>-13.96126407608417</x:v>
      </x:c>
      <x:c r="I54" s="19" t="n">
        <x:f>200*('Месяцы_рынки'!J39-'Месяцы_рынки'!J27)/('Месяцы_рынки'!J39+'Месяцы_рынки'!J27)</x:f>
        <x:v>10.153893174050749</x:v>
      </x:c>
      <x:c r="J54" s="19" t="n">
        <x:f>200*('Месяцы_рынки'!K39-'Месяцы_рынки'!K27)/('Месяцы_рынки'!K39+'Месяцы_рынки'!K27)</x:f>
        <x:v>4.83890479433316</x:v>
      </x:c>
    </x:row>
    <x:row r="55" ht="22" customHeight="1">
      <x:c r="A55" s="20" t="d">
        <x:v>2019-10-01T00:00:00.000Z</x:v>
      </x:c>
      <x:c r="B55" s="19" t="n">
        <x:f>200*('Месяцы_рынки'!C40-'Месяцы_рынки'!C28)/('Месяцы_рынки'!C40+'Месяцы_рынки'!C28)</x:f>
        <x:v>-10.374375017684713</x:v>
      </x:c>
      <x:c r="C55" s="19" t="n">
        <x:f>200*('Месяцы_рынки'!D40-'Месяцы_рынки'!D28)/('Месяцы_рынки'!D40+'Месяцы_рынки'!D28)</x:f>
        <x:v>1.2933009153585948</x:v>
      </x:c>
      <x:c r="D55" s="19" t="n">
        <x:f>200*('Месяцы_рынки'!E40-'Месяцы_рынки'!E28)/('Месяцы_рынки'!E40+'Месяцы_рынки'!E28)</x:f>
        <x:v>39.94854215620152</x:v>
      </x:c>
      <x:c r="E55" s="19" t="n">
        <x:f>200*('Месяцы_рынки'!F40-'Месяцы_рынки'!F28)/('Месяцы_рынки'!F40+'Месяцы_рынки'!F28)</x:f>
        <x:v>23.584517212652027</x:v>
      </x:c>
      <x:c r="F55" s="19" t="n">
        <x:f>200*('Месяцы_рынки'!G40-'Месяцы_рынки'!G28)/('Месяцы_рынки'!G40+'Месяцы_рынки'!G28)</x:f>
        <x:v>-23.10490741767301</x:v>
      </x:c>
      <x:c r="G55" s="19" t="n">
        <x:f>200*('Месяцы_рынки'!H40-'Месяцы_рынки'!H28)/('Месяцы_рынки'!H40+'Месяцы_рынки'!H28)</x:f>
        <x:v>4.67792064213688</x:v>
      </x:c>
      <x:c r="H55" s="19" t="n">
        <x:f>200*('Месяцы_рынки'!I40-'Месяцы_рынки'!I28)/('Месяцы_рынки'!I40+'Месяцы_рынки'!I28)</x:f>
        <x:v>-7.288092837124984</x:v>
      </x:c>
      <x:c r="I55" s="19" t="n">
        <x:f>200*('Месяцы_рынки'!J40-'Месяцы_рынки'!J28)/('Месяцы_рынки'!J40+'Месяцы_рынки'!J28)</x:f>
        <x:v>16.19451131202837</x:v>
      </x:c>
      <x:c r="J55" s="19" t="n">
        <x:f>200*('Месяцы_рынки'!K40-'Месяцы_рынки'!K28)/('Месяцы_рынки'!K40+'Месяцы_рынки'!K28)</x:f>
        <x:v>8.426617154849142</x:v>
      </x:c>
    </x:row>
    <x:row r="56" ht="22" customHeight="1">
      <x:c r="A56" s="20" t="d">
        <x:v>2019-11-01T00:00:00.000Z</x:v>
      </x:c>
      <x:c r="B56" s="19" t="n">
        <x:f>200*('Месяцы_рынки'!C41-'Месяцы_рынки'!C29)/('Месяцы_рынки'!C41+'Месяцы_рынки'!C29)</x:f>
        <x:v>-14.763213879800055</x:v>
      </x:c>
      <x:c r="C56" s="19" t="n">
        <x:f>200*('Месяцы_рынки'!D41-'Месяцы_рынки'!D29)/('Месяцы_рынки'!D41+'Месяцы_рынки'!D29)</x:f>
        <x:v>13.246112432205011</x:v>
      </x:c>
      <x:c r="D56" s="19" t="n">
        <x:f>200*('Месяцы_рынки'!E41-'Месяцы_рынки'!E29)/('Месяцы_рынки'!E41+'Месяцы_рынки'!E29)</x:f>
        <x:v>20.360905592276595</x:v>
      </x:c>
      <x:c r="E56" s="19" t="n">
        <x:f>200*('Месяцы_рынки'!F41-'Месяцы_рынки'!F29)/('Месяцы_рынки'!F41+'Месяцы_рынки'!F29)</x:f>
        <x:v>15.629512636098614</x:v>
      </x:c>
      <x:c r="F56" s="19" t="n">
        <x:f>200*('Месяцы_рынки'!G41-'Месяцы_рынки'!G29)/('Месяцы_рынки'!G41+'Месяцы_рынки'!G29)</x:f>
        <x:v>-37.83048327720178</x:v>
      </x:c>
      <x:c r="G56" s="19" t="n">
        <x:f>200*('Месяцы_рынки'!H41-'Месяцы_рынки'!H29)/('Месяцы_рынки'!H41+'Месяцы_рынки'!H29)</x:f>
        <x:v>-3.3229845321004734</x:v>
      </x:c>
      <x:c r="H56" s="19" t="n">
        <x:f>200*('Месяцы_рынки'!I41-'Месяцы_рынки'!I29)/('Месяцы_рынки'!I41+'Месяцы_рынки'!I29)</x:f>
        <x:v>-15.989063783045056</x:v>
      </x:c>
      <x:c r="I56" s="19" t="n">
        <x:f>200*('Месяцы_рынки'!J41-'Месяцы_рынки'!J29)/('Месяцы_рынки'!J41+'Месяцы_рынки'!J29)</x:f>
        <x:v>8.27984183299468</x:v>
      </x:c>
      <x:c r="J56" s="19" t="n">
        <x:f>200*('Месяцы_рынки'!K41-'Месяцы_рынки'!K29)/('Месяцы_рынки'!K41+'Месяцы_рынки'!K29)</x:f>
        <x:v>6.424773225343436</x:v>
      </x:c>
    </x:row>
    <x:row r="57" ht="22" customHeight="1">
      <x:c r="A57" s="20" t="d">
        <x:v>2019-12-01T00:00:00.000Z</x:v>
      </x:c>
      <x:c r="B57" s="19" t="n">
        <x:f>200*('Месяцы_рынки'!C42-'Месяцы_рынки'!C30)/('Месяцы_рынки'!C42+'Месяцы_рынки'!C30)</x:f>
        <x:v>-15.584152158793009</x:v>
      </x:c>
      <x:c r="C57" s="19" t="n">
        <x:f>200*('Месяцы_рынки'!D42-'Месяцы_рынки'!D30)/('Месяцы_рынки'!D42+'Месяцы_рынки'!D30)</x:f>
        <x:v>4.451950187972781</x:v>
      </x:c>
      <x:c r="D57" s="19" t="n">
        <x:f>200*('Месяцы_рынки'!E42-'Месяцы_рынки'!E30)/('Месяцы_рынки'!E42+'Месяцы_рынки'!E30)</x:f>
        <x:v>21.106485116332248</x:v>
      </x:c>
      <x:c r="E57" s="19" t="n">
        <x:f>200*('Месяцы_рынки'!F42-'Месяцы_рынки'!F30)/('Месяцы_рынки'!F42+'Месяцы_рынки'!F30)</x:f>
        <x:v>64.91891556416209</x:v>
      </x:c>
      <x:c r="F57" s="19" t="n">
        <x:f>200*('Месяцы_рынки'!G42-'Месяцы_рынки'!G30)/('Месяцы_рынки'!G42+'Месяцы_рынки'!G30)</x:f>
        <x:v>-25.861889735027226</x:v>
      </x:c>
      <x:c r="G57" s="19" t="n">
        <x:f>200*('Месяцы_рынки'!H42-'Месяцы_рынки'!H30)/('Месяцы_рынки'!H42+'Месяцы_рынки'!H30)</x:f>
        <x:v>10.715606447342816</x:v>
      </x:c>
      <x:c r="H57" s="19" t="n">
        <x:f>200*('Месяцы_рынки'!I42-'Месяцы_рынки'!I30)/('Месяцы_рынки'!I42+'Месяцы_рынки'!I30)</x:f>
        <x:v>-15.410839661401589</x:v>
      </x:c>
      <x:c r="I57" s="19" t="n">
        <x:f>200*('Месяцы_рынки'!J42-'Месяцы_рынки'!J30)/('Месяцы_рынки'!J42+'Месяцы_рынки'!J30)</x:f>
        <x:v>-3.6732319775091984</x:v>
      </x:c>
      <x:c r="J57" s="19" t="n">
        <x:f>200*('Месяцы_рынки'!K42-'Месяцы_рынки'!K30)/('Месяцы_рынки'!K42+'Месяцы_рынки'!K30)</x:f>
        <x:v>31.161241011128567</x:v>
      </x:c>
    </x:row>
    <x:row r="58" ht="22" customHeight="1">
      <x:c r="A58" s="20" t="d">
        <x:v>2020-01-01T00:00:00.000Z</x:v>
      </x:c>
      <x:c r="B58" s="19" t="n">
        <x:f>200*('Месяцы_рынки'!C43-'Месяцы_рынки'!C31)/('Месяцы_рынки'!C43+'Месяцы_рынки'!C31)</x:f>
        <x:v>-10.837473363172535</x:v>
      </x:c>
      <x:c r="C58" s="19" t="n">
        <x:f>200*('Месяцы_рынки'!D43-'Месяцы_рынки'!D31)/('Месяцы_рынки'!D43+'Месяцы_рынки'!D31)</x:f>
        <x:v>-0.9026445230843005</x:v>
      </x:c>
      <x:c r="D58" s="19" t="n">
        <x:f>200*('Месяцы_рынки'!E43-'Месяцы_рынки'!E31)/('Месяцы_рынки'!E43+'Месяцы_рынки'!E31)</x:f>
        <x:v>21.726514396047307</x:v>
      </x:c>
      <x:c r="E58" s="19" t="n">
        <x:f>200*('Месяцы_рынки'!F43-'Месяцы_рынки'!F31)/('Месяцы_рынки'!F43+'Месяцы_рынки'!F31)</x:f>
        <x:v>47.578924424432145</x:v>
      </x:c>
      <x:c r="F58" s="19" t="n">
        <x:f>200*('Месяцы_рынки'!G43-'Месяцы_рынки'!G31)/('Месяцы_рынки'!G43+'Месяцы_рынки'!G31)</x:f>
        <x:v>-48.75583067383106</x:v>
      </x:c>
      <x:c r="G58" s="19" t="n">
        <x:f>200*('Месяцы_рынки'!H43-'Месяцы_рынки'!H31)/('Месяцы_рынки'!H43+'Месяцы_рынки'!H31)</x:f>
        <x:v>11.482409957188617</x:v>
      </x:c>
      <x:c r="H58" s="19" t="n">
        <x:f>200*('Месяцы_рынки'!I43-'Месяцы_рынки'!I31)/('Месяцы_рынки'!I43+'Месяцы_рынки'!I31)</x:f>
        <x:v>-3.4347294227138128</x:v>
      </x:c>
      <x:c r="I58" s="19" t="n">
        <x:f>200*('Месяцы_рынки'!J43-'Месяцы_рынки'!J31)/('Месяцы_рынки'!J43+'Месяцы_рынки'!J31)</x:f>
        <x:v>3.805912284894574</x:v>
      </x:c>
      <x:c r="J58" s="19" t="n">
        <x:f>200*('Месяцы_рынки'!K43-'Месяцы_рынки'!K31)/('Месяцы_рынки'!K43+'Месяцы_рынки'!K31)</x:f>
        <x:v>11.777508009859783</x:v>
      </x:c>
    </x:row>
    <x:row r="59" ht="22" customHeight="1">
      <x:c r="A59" s="20" t="d">
        <x:v>2020-02-01T00:00:00.000Z</x:v>
      </x:c>
      <x:c r="B59" s="19" t="n">
        <x:f>200*('Месяцы_рынки'!C44-'Месяцы_рынки'!C32)/('Месяцы_рынки'!C44+'Месяцы_рынки'!C32)</x:f>
        <x:v>23.768051816340822</x:v>
      </x:c>
      <x:c r="C59" s="19" t="n">
        <x:f>200*('Месяцы_рынки'!D44-'Месяцы_рынки'!D32)/('Месяцы_рынки'!D44+'Месяцы_рынки'!D32)</x:f>
        <x:v>3.241923483954333</x:v>
      </x:c>
      <x:c r="D59" s="19" t="n">
        <x:f>200*('Месяцы_рынки'!E44-'Месяцы_рынки'!E32)/('Месяцы_рынки'!E44+'Месяцы_рынки'!E32)</x:f>
        <x:v>25.918132131338442</x:v>
      </x:c>
      <x:c r="E59" s="19" t="n">
        <x:f>200*('Месяцы_рынки'!F44-'Месяцы_рынки'!F32)/('Месяцы_рынки'!F44+'Месяцы_рынки'!F32)</x:f>
        <x:v>107.21790692175712</x:v>
      </x:c>
      <x:c r="F59" s="19" t="n">
        <x:f>200*('Месяцы_рынки'!G44-'Месяцы_рынки'!G32)/('Месяцы_рынки'!G44+'Месяцы_рынки'!G32)</x:f>
        <x:v>-21.72925702947035</x:v>
      </x:c>
      <x:c r="G59" s="19" t="n">
        <x:f>200*('Месяцы_рынки'!H44-'Месяцы_рынки'!H32)/('Месяцы_рынки'!H44+'Месяцы_рынки'!H32)</x:f>
        <x:v>22.25495663405456</x:v>
      </x:c>
      <x:c r="H59" s="19" t="n">
        <x:f>200*('Месяцы_рынки'!I44-'Месяцы_рынки'!I32)/('Месяцы_рынки'!I44+'Месяцы_рынки'!I32)</x:f>
        <x:v>-12.395184696559362</x:v>
      </x:c>
      <x:c r="I59" s="19" t="n">
        <x:f>200*('Месяцы_рынки'!J44-'Месяцы_рынки'!J32)/('Месяцы_рынки'!J44+'Месяцы_рынки'!J32)</x:f>
        <x:v>16.9504678586276</x:v>
      </x:c>
      <x:c r="J59" s="19" t="n">
        <x:f>200*('Месяцы_рынки'!K44-'Месяцы_рынки'!K32)/('Месяцы_рынки'!K44+'Месяцы_рынки'!K32)</x:f>
        <x:v>13.320521871429387</x:v>
      </x:c>
    </x:row>
    <x:row r="60" ht="22" customHeight="1">
      <x:c r="A60" s="20" t="d">
        <x:v>2020-03-01T00:00:00.000Z</x:v>
      </x:c>
      <x:c r="B60" s="19" t="n">
        <x:f>200*('Месяцы_рынки'!C45-'Месяцы_рынки'!C33)/('Месяцы_рынки'!C45+'Месяцы_рынки'!C33)</x:f>
        <x:v>19.532653353284264</x:v>
      </x:c>
      <x:c r="C60" s="19" t="n">
        <x:f>200*('Месяцы_рынки'!D45-'Месяцы_рынки'!D33)/('Месяцы_рынки'!D45+'Месяцы_рынки'!D33)</x:f>
        <x:v>-28.69756396232628</x:v>
      </x:c>
      <x:c r="D60" s="19" t="n">
        <x:f>200*('Месяцы_рынки'!E45-'Месяцы_рынки'!E33)/('Месяцы_рынки'!E45+'Месяцы_рынки'!E33)</x:f>
        <x:v>28.425083829380164</x:v>
      </x:c>
      <x:c r="E60" s="19" t="n">
        <x:f>200*('Месяцы_рынки'!F45-'Месяцы_рынки'!F33)/('Месяцы_рынки'!F45+'Месяцы_рынки'!F33)</x:f>
        <x:v>37.34552398532733</x:v>
      </x:c>
      <x:c r="F60" s="19" t="n">
        <x:f>200*('Месяцы_рынки'!G45-'Месяцы_рынки'!G33)/('Месяцы_рынки'!G45+'Месяцы_рынки'!G33)</x:f>
        <x:v>30.583119640142126</x:v>
      </x:c>
      <x:c r="G60" s="19" t="n">
        <x:f>200*('Месяцы_рынки'!H45-'Месяцы_рынки'!H33)/('Месяцы_рынки'!H45+'Месяцы_рынки'!H33)</x:f>
        <x:v>7.188717877792324</x:v>
      </x:c>
      <x:c r="H60" s="19" t="n">
        <x:f>200*('Месяцы_рынки'!I45-'Месяцы_рынки'!I33)/('Месяцы_рынки'!I45+'Месяцы_рынки'!I33)</x:f>
        <x:v>-11.34258222670886</x:v>
      </x:c>
      <x:c r="I60" s="19" t="n">
        <x:f>200*('Месяцы_рынки'!J45-'Месяцы_рынки'!J33)/('Месяцы_рынки'!J45+'Месяцы_рынки'!J33)</x:f>
        <x:v>-1.487540699801246</x:v>
      </x:c>
      <x:c r="J60" s="19" t="n">
        <x:f>200*('Месяцы_рынки'!K45-'Месяцы_рынки'!K33)/('Месяцы_рынки'!K45+'Месяцы_рынки'!K33)</x:f>
        <x:v>2.6699806729178746</x:v>
      </x:c>
    </x:row>
    <x:row r="61" ht="22" customHeight="1">
      <x:c r="A61" s="20" t="d">
        <x:v>2020-04-01T00:00:00.000Z</x:v>
      </x:c>
      <x:c r="B61" s="19" t="n">
        <x:f>200*('Месяцы_рынки'!C46-'Месяцы_рынки'!C34)/('Месяцы_рынки'!C46+'Месяцы_рынки'!C34)</x:f>
        <x:v>36.795193037129394</x:v>
      </x:c>
      <x:c r="C61" s="19" t="n">
        <x:f>200*('Месяцы_рынки'!D46-'Месяцы_рынки'!D34)/('Месяцы_рынки'!D46+'Месяцы_рынки'!D34)</x:f>
        <x:v>-34.341581947334355</x:v>
      </x:c>
      <x:c r="D61" s="19" t="n">
        <x:f>200*('Месяцы_рынки'!E46-'Месяцы_рынки'!E34)/('Месяцы_рынки'!E46+'Месяцы_рынки'!E34)</x:f>
        <x:v>14.789505548472349</x:v>
      </x:c>
      <x:c r="E61" s="19" t="n">
        <x:f>200*('Месяцы_рынки'!F46-'Месяцы_рынки'!F34)/('Месяцы_рынки'!F46+'Месяцы_рынки'!F34)</x:f>
        <x:v>42.51652134213352</x:v>
      </x:c>
      <x:c r="F61" s="19" t="n">
        <x:f>200*('Месяцы_рынки'!G46-'Месяцы_рынки'!G34)/('Месяцы_рынки'!G46+'Месяцы_рынки'!G34)</x:f>
        <x:v>26.220005357190917</x:v>
      </x:c>
      <x:c r="G61" s="19" t="n">
        <x:f>200*('Месяцы_рынки'!H46-'Месяцы_рынки'!H34)/('Месяцы_рынки'!H46+'Месяцы_рынки'!H34)</x:f>
        <x:v>19.90737902011164</x:v>
      </x:c>
      <x:c r="H61" s="19" t="n">
        <x:f>200*('Месяцы_рынки'!I46-'Месяцы_рынки'!I34)/('Месяцы_рынки'!I46+'Месяцы_рынки'!I34)</x:f>
        <x:v>-33.324238505478554</x:v>
      </x:c>
      <x:c r="I61" s="19" t="n">
        <x:f>200*('Месяцы_рынки'!J46-'Месяцы_рынки'!J34)/('Месяцы_рынки'!J46+'Месяцы_рынки'!J34)</x:f>
        <x:v>5.612279336648104</x:v>
      </x:c>
      <x:c r="J61" s="19" t="n">
        <x:f>200*('Месяцы_рынки'!K46-'Месяцы_рынки'!K34)/('Месяцы_рынки'!K46+'Месяцы_рынки'!K34)</x:f>
        <x:v>-7.995468994883366</x:v>
      </x:c>
    </x:row>
    <x:row r="62" ht="22" customHeight="1">
      <x:c r="A62" s="20" t="d">
        <x:v>2020-05-01T00:00:00.000Z</x:v>
      </x:c>
      <x:c r="B62" s="19" t="n">
        <x:f>200*('Месяцы_рынки'!C47-'Месяцы_рынки'!C35)/('Месяцы_рынки'!C47+'Месяцы_рынки'!C35)</x:f>
        <x:v>6.3310750936218785</x:v>
      </x:c>
      <x:c r="C62" s="19" t="n">
        <x:f>200*('Месяцы_рынки'!D47-'Месяцы_рынки'!D35)/('Месяцы_рынки'!D47+'Месяцы_рынки'!D35)</x:f>
        <x:v>-33.987271420183696</x:v>
      </x:c>
      <x:c r="D62" s="19" t="n">
        <x:f>200*('Месяцы_рынки'!E47-'Месяцы_рынки'!E35)/('Месяцы_рынки'!E47+'Месяцы_рынки'!E35)</x:f>
        <x:v>4.8248338066918555</x:v>
      </x:c>
      <x:c r="E62" s="19" t="n">
        <x:f>200*('Месяцы_рынки'!F47-'Месяцы_рынки'!F35)/('Месяцы_рынки'!F47+'Месяцы_рынки'!F35)</x:f>
        <x:v>16.925305212023126</x:v>
      </x:c>
      <x:c r="F62" s="19" t="n">
        <x:f>200*('Месяцы_рынки'!G47-'Месяцы_рынки'!G35)/('Месяцы_рынки'!G47+'Месяцы_рынки'!G35)</x:f>
        <x:v>72.71292934570458</x:v>
      </x:c>
      <x:c r="G62" s="19" t="n">
        <x:f>200*('Месяцы_рынки'!H47-'Месяцы_рынки'!H35)/('Месяцы_рынки'!H47+'Месяцы_рынки'!H35)</x:f>
        <x:v>20.57934774552504</x:v>
      </x:c>
      <x:c r="H62" s="19" t="n">
        <x:f>200*('Месяцы_рынки'!I47-'Месяцы_рынки'!I35)/('Месяцы_рынки'!I47+'Месяцы_рынки'!I35)</x:f>
        <x:v>-61.56625811347731</x:v>
      </x:c>
      <x:c r="I62" s="19" t="n">
        <x:f>200*('Месяцы_рынки'!J47-'Месяцы_рынки'!J35)/('Месяцы_рынки'!J47+'Месяцы_рынки'!J35)</x:f>
        <x:v>-26.749379787844198</x:v>
      </x:c>
      <x:c r="J62" s="19" t="n">
        <x:f>200*('Месяцы_рынки'!K47-'Месяцы_рынки'!K35)/('Месяцы_рынки'!K47+'Месяцы_рынки'!K35)</x:f>
        <x:v>-21.860677138971468</x:v>
      </x:c>
    </x:row>
    <x:row r="63" ht="22" customHeight="1">
      <x:c r="A63" s="20" t="d">
        <x:v>2020-06-01T00:00:00.000Z</x:v>
      </x:c>
      <x:c r="B63" s="19" t="n">
        <x:f>200*('Месяцы_рынки'!C48-'Месяцы_рынки'!C36)/('Месяцы_рынки'!C48+'Месяцы_рынки'!C36)</x:f>
        <x:v>-0.6756581493911888</x:v>
      </x:c>
      <x:c r="C63" s="19" t="n">
        <x:f>200*('Месяцы_рынки'!D48-'Месяцы_рынки'!D36)/('Месяцы_рынки'!D48+'Месяцы_рынки'!D36)</x:f>
        <x:v>-45.50004736153854</x:v>
      </x:c>
      <x:c r="D63" s="19" t="n">
        <x:f>200*('Месяцы_рынки'!E48-'Месяцы_рынки'!E36)/('Месяцы_рынки'!E48+'Месяцы_рынки'!E36)</x:f>
        <x:v>12.120927054062165</x:v>
      </x:c>
      <x:c r="E63" s="19" t="n">
        <x:f>200*('Месяцы_рынки'!F48-'Месяцы_рынки'!F36)/('Месяцы_рынки'!F48+'Месяцы_рынки'!F36)</x:f>
        <x:v>34.126202166074044</x:v>
      </x:c>
      <x:c r="F63" s="19" t="n">
        <x:f>200*('Месяцы_рынки'!G48-'Месяцы_рынки'!G36)/('Месяцы_рынки'!G48+'Месяцы_рынки'!G36)</x:f>
        <x:v>26.56877279087594</x:v>
      </x:c>
      <x:c r="G63" s="19" t="n">
        <x:f>200*('Месяцы_рынки'!H48-'Месяцы_рынки'!H36)/('Месяцы_рынки'!H48+'Месяцы_рынки'!H36)</x:f>
        <x:v>11.474033295903514</x:v>
      </x:c>
      <x:c r="H63" s="19" t="n">
        <x:f>200*('Месяцы_рынки'!I48-'Месяцы_рынки'!I36)/('Месяцы_рынки'!I48+'Месяцы_рынки'!I36)</x:f>
        <x:v>-59.228899907197636</x:v>
      </x:c>
      <x:c r="I63" s="19" t="n">
        <x:f>200*('Месяцы_рынки'!J48-'Месяцы_рынки'!J36)/('Месяцы_рынки'!J48+'Месяцы_рынки'!J36)</x:f>
        <x:v>-34.57904529490135</x:v>
      </x:c>
      <x:c r="J63" s="19" t="n">
        <x:f>200*('Месяцы_рынки'!K48-'Месяцы_рынки'!K36)/('Месяцы_рынки'!K48+'Месяцы_рынки'!K36)</x:f>
        <x:v>-12.654599885726705</x:v>
      </x:c>
    </x:row>
    <x:row r="64" ht="22" customHeight="1">
      <x:c r="A64" s="20" t="d">
        <x:v>2020-07-01T00:00:00.000Z</x:v>
      </x:c>
      <x:c r="B64" s="19" t="n">
        <x:f>200*('Месяцы_рынки'!C49-'Месяцы_рынки'!C37)/('Месяцы_рынки'!C49+'Месяцы_рынки'!C37)</x:f>
        <x:v>21.7711603485517</x:v>
      </x:c>
      <x:c r="C64" s="19" t="n">
        <x:f>200*('Месяцы_рынки'!D49-'Месяцы_рынки'!D37)/('Месяцы_рынки'!D49+'Месяцы_рынки'!D37)</x:f>
        <x:v>-47.73761738401072</x:v>
      </x:c>
      <x:c r="D64" s="19" t="n">
        <x:f>200*('Месяцы_рынки'!E49-'Месяцы_рынки'!E37)/('Месяцы_рынки'!E49+'Месяцы_рынки'!E37)</x:f>
        <x:v>6.727417040242637</x:v>
      </x:c>
      <x:c r="E64" s="19" t="n">
        <x:f>200*('Месяцы_рынки'!F49-'Месяцы_рынки'!F37)/('Месяцы_рынки'!F49+'Месяцы_рынки'!F37)</x:f>
        <x:v>19.511269956646135</x:v>
      </x:c>
      <x:c r="F64" s="19" t="n">
        <x:f>200*('Месяцы_рынки'!G49-'Месяцы_рынки'!G37)/('Месяцы_рынки'!G49+'Месяцы_рынки'!G37)</x:f>
        <x:v>24.625600853017854</x:v>
      </x:c>
      <x:c r="G64" s="19" t="n">
        <x:f>200*('Месяцы_рынки'!H49-'Месяцы_рынки'!H37)/('Месяцы_рынки'!H49+'Месяцы_рынки'!H37)</x:f>
        <x:v>2.593865025296419</x:v>
      </x:c>
      <x:c r="H64" s="19" t="n">
        <x:f>200*('Месяцы_рынки'!I49-'Месяцы_рынки'!I37)/('Месяцы_рынки'!I49+'Месяцы_рынки'!I37)</x:f>
        <x:v>-28.006821258927303</x:v>
      </x:c>
      <x:c r="I64" s="19" t="n">
        <x:f>200*('Месяцы_рынки'!J49-'Месяцы_рынки'!J37)/('Месяцы_рынки'!J49+'Месяцы_рынки'!J37)</x:f>
        <x:v>-11.671519164707076</x:v>
      </x:c>
      <x:c r="J64" s="19" t="n">
        <x:f>200*('Месяцы_рынки'!K49-'Месяцы_рынки'!K37)/('Месяцы_рынки'!K49+'Месяцы_рынки'!K37)</x:f>
        <x:v>-2.4327013540610514</x:v>
      </x:c>
    </x:row>
    <x:row r="65" ht="22" customHeight="1">
      <x:c r="A65" s="20" t="d">
        <x:v>2020-08-01T00:00:00.000Z</x:v>
      </x:c>
      <x:c r="B65" s="19" t="n">
        <x:f>200*('Месяцы_рынки'!C50-'Месяцы_рынки'!C38)/('Месяцы_рынки'!C50+'Месяцы_рынки'!C38)</x:f>
        <x:v>8.789541173869301</x:v>
      </x:c>
      <x:c r="C65" s="19" t="n">
        <x:f>200*('Месяцы_рынки'!D50-'Месяцы_рынки'!D38)/('Месяцы_рынки'!D50+'Месяцы_рынки'!D38)</x:f>
        <x:v>-39.936590961981516</x:v>
      </x:c>
      <x:c r="D65" s="19" t="n">
        <x:f>200*('Месяцы_рынки'!E50-'Месяцы_рынки'!E38)/('Месяцы_рынки'!E50+'Месяцы_рынки'!E38)</x:f>
        <x:v>18.16925945555674</x:v>
      </x:c>
      <x:c r="E65" s="19" t="n">
        <x:f>200*('Месяцы_рынки'!F50-'Месяцы_рынки'!F38)/('Месяцы_рынки'!F50+'Месяцы_рынки'!F38)</x:f>
        <x:v>-8.11047750130635</x:v>
      </x:c>
      <x:c r="F65" s="19" t="n">
        <x:f>200*('Месяцы_рынки'!G50-'Месяцы_рынки'!G38)/('Месяцы_рынки'!G50+'Месяцы_рынки'!G38)</x:f>
        <x:v>8.486954549184388</x:v>
      </x:c>
      <x:c r="G65" s="19" t="n">
        <x:f>200*('Месяцы_рынки'!H50-'Месяцы_рынки'!H38)/('Месяцы_рынки'!H50+'Месяцы_рынки'!H38)</x:f>
        <x:v>0.9367455127449437</x:v>
      </x:c>
      <x:c r="H65" s="19" t="n">
        <x:f>200*('Месяцы_рынки'!I50-'Месяцы_рынки'!I38)/('Месяцы_рынки'!I50+'Месяцы_рынки'!I38)</x:f>
        <x:v>-22.19536791972651</x:v>
      </x:c>
      <x:c r="I65" s="19" t="n">
        <x:f>200*('Месяцы_рынки'!J50-'Месяцы_рынки'!J38)/('Месяцы_рынки'!J50+'Месяцы_рынки'!J38)</x:f>
        <x:v>-27.51022044091503</x:v>
      </x:c>
      <x:c r="J65" s="19" t="n">
        <x:f>200*('Месяцы_рынки'!K50-'Месяцы_рынки'!K38)/('Месяцы_рынки'!K50+'Месяцы_рынки'!K38)</x:f>
        <x:v>-0.06855102341051966</x:v>
      </x:c>
    </x:row>
    <x:row r="66" ht="22" customHeight="1">
      <x:c r="A66" s="20" t="d">
        <x:v>2020-09-01T00:00:00.000Z</x:v>
      </x:c>
      <x:c r="B66" s="19" t="n">
        <x:f>200*('Месяцы_рынки'!C51-'Месяцы_рынки'!C39)/('Месяцы_рынки'!C51+'Месяцы_рынки'!C39)</x:f>
        <x:v>-31.960848451200484</x:v>
      </x:c>
      <x:c r="C66" s="19" t="n">
        <x:f>200*('Месяцы_рынки'!D51-'Месяцы_рынки'!D39)/('Месяцы_рынки'!D51+'Месяцы_рынки'!D39)</x:f>
        <x:v>-13.220494092934791</x:v>
      </x:c>
      <x:c r="D66" s="19" t="n">
        <x:f>200*('Месяцы_рынки'!E51-'Месяцы_рынки'!E39)/('Месяцы_рынки'!E51+'Месяцы_рынки'!E39)</x:f>
        <x:v>21.225238220088833</x:v>
      </x:c>
      <x:c r="E66" s="19" t="n">
        <x:f>200*('Месяцы_рынки'!F51-'Месяцы_рынки'!F39)/('Месяцы_рынки'!F51+'Месяцы_рынки'!F39)</x:f>
        <x:v>2.3283037227851984</x:v>
      </x:c>
      <x:c r="F66" s="19" t="n">
        <x:f>200*('Месяцы_рынки'!G51-'Месяцы_рынки'!G39)/('Месяцы_рынки'!G51+'Месяцы_рынки'!G39)</x:f>
        <x:v>47.64852181592582</x:v>
      </x:c>
      <x:c r="G66" s="19" t="n">
        <x:f>200*('Месяцы_рынки'!H51-'Месяцы_рынки'!H39)/('Месяцы_рынки'!H51+'Месяцы_рынки'!H39)</x:f>
        <x:v>-9.075397190931946</x:v>
      </x:c>
      <x:c r="H66" s="19" t="n">
        <x:f>200*('Месяцы_рынки'!I51-'Месяцы_рынки'!I39)/('Месяцы_рынки'!I51+'Месяцы_рынки'!I39)</x:f>
        <x:v>-2.7831121256859945</x:v>
      </x:c>
      <x:c r="I66" s="19" t="n">
        <x:f>200*('Месяцы_рынки'!J51-'Месяцы_рынки'!J39)/('Месяцы_рынки'!J51+'Месяцы_рынки'!J39)</x:f>
        <x:v>-8.111409607974618</x:v>
      </x:c>
      <x:c r="J66" s="19" t="n">
        <x:f>200*('Месяцы_рынки'!K51-'Месяцы_рынки'!K39)/('Месяцы_рынки'!K51+'Месяцы_рынки'!K39)</x:f>
        <x:v>28.602668585838888</x:v>
      </x:c>
    </x:row>
    <x:row r="67" ht="22" customHeight="1">
      <x:c r="A67" s="20" t="d">
        <x:v>2020-10-01T00:00:00.000Z</x:v>
      </x:c>
      <x:c r="B67" s="19" t="n">
        <x:f>200*('Месяцы_рынки'!C52-'Месяцы_рынки'!C40)/('Месяцы_рынки'!C52+'Месяцы_рынки'!C40)</x:f>
        <x:v>-32.18549947283956</x:v>
      </x:c>
      <x:c r="C67" s="19" t="n">
        <x:f>200*('Месяцы_рынки'!D52-'Месяцы_рынки'!D40)/('Месяцы_рынки'!D52+'Месяцы_рынки'!D40)</x:f>
        <x:v>-42.356180128566145</x:v>
      </x:c>
      <x:c r="D67" s="19" t="n">
        <x:f>200*('Месяцы_рынки'!E52-'Месяцы_рынки'!E40)/('Месяцы_рынки'!E52+'Месяцы_рынки'!E40)</x:f>
        <x:v>8.083915661473549</x:v>
      </x:c>
      <x:c r="E67" s="19" t="n">
        <x:f>200*('Месяцы_рынки'!F52-'Месяцы_рынки'!F40)/('Месяцы_рынки'!F52+'Месяцы_рынки'!F40)</x:f>
        <x:v>13.484849979944599</x:v>
      </x:c>
      <x:c r="F67" s="19" t="n">
        <x:f>200*('Месяцы_рынки'!G52-'Месяцы_рынки'!G40)/('Месяцы_рынки'!G52+'Месяцы_рынки'!G40)</x:f>
        <x:v>23.961843331748398</x:v>
      </x:c>
      <x:c r="G67" s="19" t="n">
        <x:f>200*('Месяцы_рынки'!H52-'Месяцы_рынки'!H40)/('Месяцы_рынки'!H52+'Месяцы_рынки'!H40)</x:f>
        <x:v>0.331809832492644</x:v>
      </x:c>
      <x:c r="H67" s="19" t="n">
        <x:f>200*('Месяцы_рынки'!I52-'Месяцы_рынки'!I40)/('Месяцы_рынки'!I52+'Месяцы_рынки'!I40)</x:f>
        <x:v>-9.094241971164434</x:v>
      </x:c>
      <x:c r="I67" s="19" t="n">
        <x:f>200*('Месяцы_рынки'!J52-'Месяцы_рынки'!J40)/('Месяцы_рынки'!J52+'Месяцы_рынки'!J40)</x:f>
        <x:v>-5.9550136439917765</x:v>
      </x:c>
      <x:c r="J67" s="19" t="n">
        <x:f>200*('Месяцы_рынки'!K52-'Месяцы_рынки'!K40)/('Месяцы_рынки'!K52+'Месяцы_рынки'!K40)</x:f>
        <x:v>25.71018431240451</x:v>
      </x:c>
    </x:row>
    <x:row r="68" ht="22" customHeight="1">
      <x:c r="A68" s="20" t="d">
        <x:v>2020-11-01T00:00:00.000Z</x:v>
      </x:c>
      <x:c r="B68" s="19" t="n">
        <x:f>200*('Месяцы_рынки'!C53-'Месяцы_рынки'!C41)/('Месяцы_рынки'!C53+'Месяцы_рынки'!C41)</x:f>
        <x:v>-26.785801668039493</x:v>
      </x:c>
      <x:c r="C68" s="19" t="n">
        <x:f>200*('Месяцы_рынки'!D53-'Месяцы_рынки'!D41)/('Месяцы_рынки'!D53+'Месяцы_рынки'!D41)</x:f>
        <x:v>-30.453841436270906</x:v>
      </x:c>
      <x:c r="D68" s="19" t="n">
        <x:f>200*('Месяцы_рынки'!E53-'Месяцы_рынки'!E41)/('Месяцы_рынки'!E53+'Месяцы_рынки'!E41)</x:f>
        <x:v>1.9695181052354325</x:v>
      </x:c>
      <x:c r="E68" s="19" t="n">
        <x:f>200*('Месяцы_рынки'!F53-'Месяцы_рынки'!F41)/('Месяцы_рынки'!F53+'Месяцы_рынки'!F41)</x:f>
        <x:v>40.145346920441604</x:v>
      </x:c>
      <x:c r="F68" s="19" t="n">
        <x:f>200*('Месяцы_рынки'!G53-'Месяцы_рынки'!G41)/('Месяцы_рынки'!G53+'Месяцы_рынки'!G41)</x:f>
        <x:v>37.5402266184275</x:v>
      </x:c>
      <x:c r="G68" s="19" t="n">
        <x:f>200*('Месяцы_рынки'!H53-'Месяцы_рынки'!H41)/('Месяцы_рынки'!H53+'Месяцы_рынки'!H41)</x:f>
        <x:v>-3.7284805517234316</x:v>
      </x:c>
      <x:c r="H68" s="19" t="n">
        <x:f>200*('Месяцы_рынки'!I53-'Месяцы_рынки'!I41)/('Месяцы_рынки'!I53+'Месяцы_рынки'!I41)</x:f>
        <x:v>-1.4390225192048465</x:v>
      </x:c>
      <x:c r="I68" s="19" t="n">
        <x:f>200*('Месяцы_рынки'!J53-'Месяцы_рынки'!J41)/('Месяцы_рынки'!J53+'Месяцы_рынки'!J41)</x:f>
        <x:v>-11.29136650484273</x:v>
      </x:c>
      <x:c r="J68" s="19" t="n">
        <x:f>200*('Месяцы_рынки'!K53-'Месяцы_рынки'!K41)/('Месяцы_рынки'!K53+'Месяцы_рынки'!K41)</x:f>
        <x:v>21.917593378250324</x:v>
      </x:c>
    </x:row>
    <x:row r="69" ht="22" customHeight="1">
      <x:c r="A69" s="20" t="d">
        <x:v>2020-12-01T00:00:00.000Z</x:v>
      </x:c>
      <x:c r="B69" s="19" t="n">
        <x:f>200*('Месяцы_рынки'!C54-'Месяцы_рынки'!C42)/('Месяцы_рынки'!C54+'Месяцы_рынки'!C42)</x:f>
        <x:v>-12.327254077548195</x:v>
      </x:c>
      <x:c r="C69" s="19" t="n">
        <x:f>200*('Месяцы_рынки'!D54-'Месяцы_рынки'!D42)/('Месяцы_рынки'!D54+'Месяцы_рынки'!D42)</x:f>
        <x:v>17.077892927380603</x:v>
      </x:c>
      <x:c r="D69" s="19" t="n">
        <x:f>200*('Месяцы_рынки'!E54-'Месяцы_рынки'!E42)/('Месяцы_рынки'!E54+'Месяцы_рынки'!E42)</x:f>
        <x:v>7.691201059356861</x:v>
      </x:c>
      <x:c r="E69" s="19" t="n">
        <x:f>200*('Месяцы_рынки'!F54-'Месяцы_рынки'!F42)/('Месяцы_рынки'!F54+'Месяцы_рынки'!F42)</x:f>
        <x:v>13.044105710981936</x:v>
      </x:c>
      <x:c r="F69" s="19" t="n">
        <x:f>200*('Месяцы_рынки'!G54-'Месяцы_рынки'!G42)/('Месяцы_рынки'!G54+'Месяцы_рынки'!G42)</x:f>
        <x:v>6.108714594365696</x:v>
      </x:c>
      <x:c r="G69" s="19" t="n">
        <x:f>200*('Месяцы_рынки'!H54-'Месяцы_рынки'!H42)/('Месяцы_рынки'!H54+'Месяцы_рынки'!H42)</x:f>
        <x:v>10.719322435565559</x:v>
      </x:c>
      <x:c r="H69" s="19" t="n">
        <x:f>200*('Месяцы_рынки'!I54-'Месяцы_рынки'!I42)/('Месяцы_рынки'!I54+'Месяцы_рынки'!I42)</x:f>
        <x:v>6.224599998634929</x:v>
      </x:c>
      <x:c r="I69" s="19" t="n">
        <x:f>200*('Месяцы_рынки'!J54-'Месяцы_рынки'!J42)/('Месяцы_рынки'!J54+'Месяцы_рынки'!J42)</x:f>
        <x:v>8.283566673650881</x:v>
      </x:c>
      <x:c r="J69" s="19" t="n">
        <x:f>200*('Месяцы_рынки'!K54-'Месяцы_рынки'!K42)/('Месяцы_рынки'!K54+'Месяцы_рынки'!K42)</x:f>
        <x:v>14.338795712058428</x:v>
      </x:c>
    </x:row>
    <x:row r="70" ht="22" customHeight="1">
      <x:c r="A70" s="20" t="d">
        <x:v>2021-01-01T00:00:00.000Z</x:v>
      </x:c>
      <x:c r="B70" s="19" t="n">
        <x:f>200*('Месяцы_рынки'!C55-'Месяцы_рынки'!C43)/('Месяцы_рынки'!C55+'Месяцы_рынки'!C43)</x:f>
        <x:v>14.43964840495699</x:v>
      </x:c>
      <x:c r="C70" s="19" t="n">
        <x:f>200*('Месяцы_рынки'!D55-'Месяцы_рынки'!D43)/('Месяцы_рынки'!D55+'Месяцы_рынки'!D43)</x:f>
        <x:v>0.8721245264626489</x:v>
      </x:c>
      <x:c r="D70" s="19" t="n">
        <x:f>200*('Месяцы_рынки'!E55-'Месяцы_рынки'!E43)/('Месяцы_рынки'!E55+'Месяцы_рынки'!E43)</x:f>
        <x:v>31.73597977733077</x:v>
      </x:c>
      <x:c r="E70" s="19" t="n">
        <x:f>200*('Месяцы_рынки'!F55-'Месяцы_рынки'!F43)/('Месяцы_рынки'!F55+'Месяцы_рынки'!F43)</x:f>
        <x:v>-11.986379401649874</x:v>
      </x:c>
      <x:c r="F70" s="19" t="n">
        <x:f>200*('Месяцы_рынки'!G55-'Месяцы_рынки'!G43)/('Месяцы_рынки'!G55+'Месяцы_рынки'!G43)</x:f>
        <x:v>44.57498185763569</x:v>
      </x:c>
      <x:c r="G70" s="19" t="n">
        <x:f>200*('Месяцы_рынки'!H55-'Месяцы_рынки'!H43)/('Месяцы_рынки'!H55+'Месяцы_рынки'!H43)</x:f>
        <x:v>0.23388104011428276</x:v>
      </x:c>
      <x:c r="H70" s="19" t="n">
        <x:f>200*('Месяцы_рынки'!I55-'Месяцы_рынки'!I43)/('Месяцы_рынки'!I55+'Месяцы_рынки'!I43)</x:f>
        <x:v>-7.622575023366556</x:v>
      </x:c>
      <x:c r="I70" s="19" t="n">
        <x:f>200*('Месяцы_рынки'!J55-'Месяцы_рынки'!J43)/('Месяцы_рынки'!J55+'Месяцы_рынки'!J43)</x:f>
        <x:v>3.812923762253629</x:v>
      </x:c>
      <x:c r="J70" s="19" t="n">
        <x:f>200*('Месяцы_рынки'!K55-'Месяцы_рынки'!K43)/('Месяцы_рынки'!K55+'Месяцы_рынки'!K43)</x:f>
        <x:v>21.857850898859457</x:v>
      </x:c>
    </x:row>
    <x:row r="71" ht="22" customHeight="1">
      <x:c r="A71" s="20" t="d">
        <x:v>2021-02-01T00:00:00.000Z</x:v>
      </x:c>
      <x:c r="B71" s="19" t="n">
        <x:f>200*('Месяцы_рынки'!C56-'Месяцы_рынки'!C44)/('Месяцы_рынки'!C56+'Месяцы_рынки'!C44)</x:f>
        <x:v>3.903172763192393</x:v>
      </x:c>
      <x:c r="C71" s="19" t="n">
        <x:f>200*('Месяцы_рынки'!D56-'Месяцы_рынки'!D44)/('Месяцы_рынки'!D56+'Месяцы_рынки'!D44)</x:f>
        <x:v>-25.490753410027835</x:v>
      </x:c>
      <x:c r="D71" s="19" t="n">
        <x:f>200*('Месяцы_рынки'!E56-'Месяцы_рынки'!E44)/('Месяцы_рынки'!E56+'Месяцы_рынки'!E44)</x:f>
        <x:v>21.758851125128228</x:v>
      </x:c>
      <x:c r="E71" s="19" t="n">
        <x:f>200*('Месяцы_рынки'!F56-'Месяцы_рынки'!F44)/('Месяцы_рынки'!F56+'Месяцы_рынки'!F44)</x:f>
        <x:v>-53.65408201498456</x:v>
      </x:c>
      <x:c r="F71" s="19" t="n">
        <x:f>200*('Месяцы_рынки'!G56-'Месяцы_рынки'!G44)/('Месяцы_рынки'!G56+'Месяцы_рынки'!G44)</x:f>
        <x:v>45.77546739937309</x:v>
      </x:c>
      <x:c r="G71" s="19" t="n">
        <x:f>200*('Месяцы_рынки'!H56-'Месяцы_рынки'!H44)/('Месяцы_рынки'!H56+'Месяцы_рынки'!H44)</x:f>
        <x:v>-6.627419593994425</x:v>
      </x:c>
      <x:c r="H71" s="19" t="n">
        <x:f>200*('Месяцы_рынки'!I56-'Месяцы_рынки'!I44)/('Месяцы_рынки'!I56+'Месяцы_рынки'!I44)</x:f>
        <x:v>-3.001925257078984</x:v>
      </x:c>
      <x:c r="I71" s="19" t="n">
        <x:f>200*('Месяцы_рынки'!J56-'Месяцы_рынки'!J44)/('Месяцы_рынки'!J56+'Месяцы_рынки'!J44)</x:f>
        <x:v>3.1571004555976114</x:v>
      </x:c>
      <x:c r="J71" s="19" t="n">
        <x:f>200*('Месяцы_рынки'!K56-'Месяцы_рынки'!K44)/('Месяцы_рынки'!K56+'Месяцы_рынки'!K44)</x:f>
        <x:v>28.887237214827792</x:v>
      </x:c>
    </x:row>
    <x:row r="72" ht="22" customHeight="1">
      <x:c r="A72" s="20" t="d">
        <x:v>2021-03-01T00:00:00.000Z</x:v>
      </x:c>
      <x:c r="B72" s="19" t="n">
        <x:f>200*('Месяцы_рынки'!C57-'Месяцы_рынки'!C45)/('Месяцы_рынки'!C57+'Месяцы_рынки'!C45)</x:f>
        <x:v>0.5047830297713646</x:v>
      </x:c>
      <x:c r="C72" s="19" t="n">
        <x:f>200*('Месяцы_рынки'!D57-'Месяцы_рынки'!D45)/('Месяцы_рынки'!D57+'Месяцы_рынки'!D45)</x:f>
        <x:v>-22.055165984517046</x:v>
      </x:c>
      <x:c r="D72" s="19" t="n">
        <x:f>200*('Месяцы_рынки'!E57-'Месяцы_рынки'!E45)/('Месяцы_рынки'!E57+'Месяцы_рынки'!E45)</x:f>
        <x:v>17.299678633507042</x:v>
      </x:c>
      <x:c r="E72" s="19" t="n">
        <x:f>200*('Месяцы_рынки'!F57-'Месяцы_рынки'!F45)/('Месяцы_рынки'!F57+'Месяцы_рынки'!F45)</x:f>
        <x:v>3.5061065451436955</x:v>
      </x:c>
      <x:c r="F72" s="19" t="n">
        <x:f>200*('Месяцы_рынки'!G57-'Месяцы_рынки'!G45)/('Месяцы_рынки'!G57+'Месяцы_рынки'!G45)</x:f>
        <x:v>-14.838926358340247</x:v>
      </x:c>
      <x:c r="G72" s="19" t="n">
        <x:f>200*('Месяцы_рынки'!H57-'Месяцы_рынки'!H45)/('Месяцы_рынки'!H57+'Месяцы_рынки'!H45)</x:f>
        <x:v>24.52852386967883</x:v>
      </x:c>
      <x:c r="H72" s="19" t="n">
        <x:f>200*('Месяцы_рынки'!I57-'Месяцы_рынки'!I45)/('Месяцы_рынки'!I57+'Месяцы_рынки'!I45)</x:f>
        <x:v>14.3445417125696</x:v>
      </x:c>
      <x:c r="I72" s="19" t="n">
        <x:f>200*('Месяцы_рынки'!J57-'Месяцы_рынки'!J45)/('Месяцы_рынки'!J57+'Месяцы_рынки'!J45)</x:f>
        <x:v>18.455632613836592</x:v>
      </x:c>
      <x:c r="J72" s="19" t="n">
        <x:f>200*('Месяцы_рынки'!K57-'Месяцы_рынки'!K45)/('Месяцы_рынки'!K57+'Месяцы_рынки'!K45)</x:f>
        <x:v>31.8193052339421</x:v>
      </x:c>
    </x:row>
    <x:row r="73" ht="22" customHeight="1">
      <x:c r="A73" s="20" t="d">
        <x:v>2021-04-01T00:00:00.000Z</x:v>
      </x:c>
      <x:c r="B73" s="19" t="n">
        <x:f>200*('Месяцы_рынки'!C58-'Месяцы_рынки'!C46)/('Месяцы_рынки'!C58+'Месяцы_рынки'!C46)</x:f>
        <x:v>-7.790110589422016</x:v>
      </x:c>
      <x:c r="C73" s="19" t="n">
        <x:f>200*('Месяцы_рынки'!D58-'Месяцы_рынки'!D46)/('Месяцы_рынки'!D58+'Месяцы_рынки'!D46)</x:f>
        <x:v>-9.816607105514901</x:v>
      </x:c>
      <x:c r="D73" s="19" t="n">
        <x:f>200*('Месяцы_рынки'!E58-'Месяцы_рынки'!E46)/('Месяцы_рынки'!E58+'Месяцы_рынки'!E46)</x:f>
        <x:v>16.84320072438573</x:v>
      </x:c>
      <x:c r="E73" s="19" t="n">
        <x:f>200*('Месяцы_рынки'!F58-'Месяцы_рынки'!F46)/('Месяцы_рынки'!F58+'Месяцы_рынки'!F46)</x:f>
        <x:v>48.021051445024966</x:v>
      </x:c>
      <x:c r="F73" s="19" t="n">
        <x:f>200*('Месяцы_рынки'!G58-'Месяцы_рынки'!G46)/('Месяцы_рынки'!G58+'Месяцы_рынки'!G46)</x:f>
        <x:v>4.595402693876536</x:v>
      </x:c>
      <x:c r="G73" s="19" t="n">
        <x:f>200*('Месяцы_рынки'!H58-'Месяцы_рынки'!H46)/('Месяцы_рынки'!H58+'Месяцы_рынки'!H46)</x:f>
        <x:v>4.076787142034693</x:v>
      </x:c>
      <x:c r="H73" s="19" t="n">
        <x:f>200*('Месяцы_рынки'!I58-'Месяцы_рынки'!I46)/('Месяцы_рынки'!I58+'Месяцы_рынки'!I46)</x:f>
        <x:v>16.825609833726237</x:v>
      </x:c>
      <x:c r="I73" s="19" t="n">
        <x:f>200*('Месяцы_рынки'!J58-'Месяцы_рынки'!J46)/('Месяцы_рынки'!J58+'Месяцы_рынки'!J46)</x:f>
        <x:v>19.060211672611324</x:v>
      </x:c>
      <x:c r="J73" s="19" t="n">
        <x:f>200*('Месяцы_рынки'!K58-'Месяцы_рынки'!K46)/('Месяцы_рынки'!K58+'Месяцы_рынки'!K46)</x:f>
        <x:v>39.527905535078595</x:v>
      </x:c>
    </x:row>
    <x:row r="74" ht="22" customHeight="1">
      <x:c r="A74" s="20" t="d">
        <x:v>2021-05-01T00:00:00.000Z</x:v>
      </x:c>
      <x:c r="B74" s="19" t="n">
        <x:f>200*('Месяцы_рынки'!C59-'Месяцы_рынки'!C47)/('Месяцы_рынки'!C59+'Месяцы_рынки'!C47)</x:f>
        <x:v>0.4339015260166751</x:v>
      </x:c>
      <x:c r="C74" s="19" t="n">
        <x:f>200*('Месяцы_рынки'!D59-'Месяцы_рынки'!D47)/('Месяцы_рынки'!D59+'Месяцы_рынки'!D47)</x:f>
        <x:v>-23.526808219226858</x:v>
      </x:c>
      <x:c r="D74" s="19" t="n">
        <x:f>200*('Месяцы_рынки'!E59-'Месяцы_рынки'!E47)/('Месяцы_рынки'!E59+'Месяцы_рынки'!E47)</x:f>
        <x:v>28.748315366491383</x:v>
      </x:c>
      <x:c r="E74" s="19" t="n">
        <x:f>200*('Месяцы_рынки'!F59-'Месяцы_рынки'!F47)/('Месяцы_рынки'!F59+'Месяцы_рынки'!F47)</x:f>
        <x:v>-0.20825478812125714</x:v>
      </x:c>
      <x:c r="F74" s="19" t="n">
        <x:f>200*('Месяцы_рынки'!G59-'Месяцы_рынки'!G47)/('Месяцы_рынки'!G59+'Месяцы_рынки'!G47)</x:f>
        <x:v>-5.007255627986376</x:v>
      </x:c>
      <x:c r="G74" s="19" t="n">
        <x:f>200*('Месяцы_рынки'!H59-'Месяцы_рынки'!H47)/('Месяцы_рынки'!H59+'Месяцы_рынки'!H47)</x:f>
        <x:v>5.073461004924643</x:v>
      </x:c>
      <x:c r="H74" s="19" t="n">
        <x:f>200*('Месяцы_рынки'!I59-'Месяцы_рынки'!I47)/('Месяцы_рынки'!I59+'Месяцы_рынки'!I47)</x:f>
        <x:v>54.49890836346319</x:v>
      </x:c>
      <x:c r="I74" s="19" t="n">
        <x:f>200*('Месяцы_рынки'!J59-'Месяцы_рынки'!J47)/('Месяцы_рынки'!J59+'Месяцы_рынки'!J47)</x:f>
        <x:v>34.490998729648894</x:v>
      </x:c>
      <x:c r="J74" s="19" t="n">
        <x:f>200*('Месяцы_рынки'!K59-'Месяцы_рынки'!K47)/('Месяцы_рынки'!K59+'Месяцы_рынки'!K47)</x:f>
        <x:v>42.56855743794473</x:v>
      </x:c>
    </x:row>
    <x:row r="75" ht="22" customHeight="1">
      <x:c r="A75" s="20" t="d">
        <x:v>2021-06-01T00:00:00.000Z</x:v>
      </x:c>
      <x:c r="B75" s="19" t="n">
        <x:f>200*('Месяцы_рынки'!C60-'Месяцы_рынки'!C48)/('Месяцы_рынки'!C60+'Месяцы_рынки'!C48)</x:f>
        <x:v>5.291207310661003</x:v>
      </x:c>
      <x:c r="C75" s="19" t="n">
        <x:f>200*('Месяцы_рынки'!D60-'Месяцы_рынки'!D48)/('Месяцы_рынки'!D60+'Месяцы_рынки'!D48)</x:f>
        <x:v>-20.437402795311638</x:v>
      </x:c>
      <x:c r="D75" s="19" t="n">
        <x:f>200*('Месяцы_рынки'!E60-'Месяцы_рынки'!E48)/('Месяцы_рынки'!E60+'Месяцы_рынки'!E48)</x:f>
        <x:v>39.13499737398059</x:v>
      </x:c>
      <x:c r="E75" s="19" t="n">
        <x:f>200*('Месяцы_рынки'!F60-'Месяцы_рынки'!F48)/('Месяцы_рынки'!F60+'Месяцы_рынки'!F48)</x:f>
        <x:v>-12.183253943845095</x:v>
      </x:c>
      <x:c r="F75" s="19" t="n">
        <x:f>200*('Месяцы_рынки'!G60-'Месяцы_рынки'!G48)/('Месяцы_рынки'!G60+'Месяцы_рынки'!G48)</x:f>
        <x:v>24.689182521474056</x:v>
      </x:c>
      <x:c r="G75" s="19" t="n">
        <x:f>200*('Месяцы_рынки'!H60-'Месяцы_рынки'!H48)/('Месяцы_рынки'!H60+'Месяцы_рынки'!H48)</x:f>
        <x:v>14.349198583389692</x:v>
      </x:c>
      <x:c r="H75" s="19" t="n">
        <x:f>200*('Месяцы_рынки'!I60-'Месяцы_рынки'!I48)/('Месяцы_рынки'!I60+'Месяцы_рынки'!I48)</x:f>
        <x:v>36.30995197176719</x:v>
      </x:c>
      <x:c r="I75" s="19" t="n">
        <x:f>200*('Месяцы_рынки'!J60-'Месяцы_рынки'!J48)/('Месяцы_рынки'!J60+'Месяцы_рынки'!J48)</x:f>
        <x:v>38.60588999303947</x:v>
      </x:c>
      <x:c r="J75" s="19" t="n">
        <x:f>200*('Месяцы_рынки'!K60-'Месяцы_рынки'!K48)/('Месяцы_рынки'!K60+'Месяцы_рынки'!K48)</x:f>
        <x:v>33.32839574616961</x:v>
      </x:c>
    </x:row>
    <x:row r="76" ht="22" customHeight="1">
      <x:c r="A76" s="20" t="d">
        <x:v>2021-07-01T00:00:00.000Z</x:v>
      </x:c>
      <x:c r="B76" s="19" t="n">
        <x:f>200*('Месяцы_рынки'!C61-'Месяцы_рынки'!C49)/('Месяцы_рынки'!C61+'Месяцы_рынки'!C49)</x:f>
        <x:v>11.055445997281282</x:v>
      </x:c>
      <x:c r="C76" s="19" t="n">
        <x:f>200*('Месяцы_рынки'!D61-'Месяцы_рынки'!D49)/('Месяцы_рынки'!D61+'Месяцы_рынки'!D49)</x:f>
        <x:v>-5.52571605415132</x:v>
      </x:c>
      <x:c r="D76" s="19" t="n">
        <x:f>200*('Месяцы_рынки'!E61-'Месяцы_рынки'!E49)/('Месяцы_рынки'!E61+'Месяцы_рынки'!E49)</x:f>
        <x:v>27.441856800269225</x:v>
      </x:c>
      <x:c r="E76" s="19" t="n">
        <x:f>200*('Месяцы_рынки'!F61-'Месяцы_рынки'!F49)/('Месяцы_рынки'!F61+'Месяцы_рынки'!F49)</x:f>
        <x:v>47.552267732826415</x:v>
      </x:c>
      <x:c r="F76" s="19" t="n">
        <x:f>200*('Месяцы_рынки'!G61-'Месяцы_рынки'!G49)/('Месяцы_рынки'!G61+'Месяцы_рынки'!G49)</x:f>
        <x:v>19.56888342602655</x:v>
      </x:c>
      <x:c r="G76" s="19" t="n">
        <x:f>200*('Месяцы_рынки'!H61-'Месяцы_рынки'!H49)/('Месяцы_рынки'!H61+'Месяцы_рынки'!H49)</x:f>
        <x:v>22.88877219841284</x:v>
      </x:c>
      <x:c r="H76" s="19" t="n">
        <x:f>200*('Месяцы_рынки'!I61-'Месяцы_рынки'!I49)/('Месяцы_рынки'!I61+'Месяцы_рынки'!I49)</x:f>
        <x:v>24.70803213602743</x:v>
      </x:c>
      <x:c r="I76" s="19" t="n">
        <x:f>200*('Месяцы_рынки'!J61-'Месяцы_рынки'!J49)/('Месяцы_рынки'!J61+'Месяцы_рынки'!J49)</x:f>
        <x:v>21.97301182688885</x:v>
      </x:c>
      <x:c r="J76" s="19" t="n">
        <x:f>200*('Месяцы_рынки'!K61-'Месяцы_рынки'!K49)/('Месяцы_рынки'!K61+'Месяцы_рынки'!K49)</x:f>
        <x:v>19.115320126544912</x:v>
      </x:c>
    </x:row>
    <x:row r="77" ht="22" customHeight="1">
      <x:c r="A77" s="20" t="d">
        <x:v>2021-08-01T00:00:00.000Z</x:v>
      </x:c>
      <x:c r="B77" s="19" t="n">
        <x:f>200*('Месяцы_рынки'!C62-'Месяцы_рынки'!C50)/('Месяцы_рынки'!C62+'Месяцы_рынки'!C50)</x:f>
        <x:v>6.54996853782804</x:v>
      </x:c>
      <x:c r="C77" s="19" t="n">
        <x:f>200*('Месяцы_рынки'!D62-'Месяцы_рынки'!D50)/('Месяцы_рынки'!D62+'Месяцы_рынки'!D50)</x:f>
        <x:v>-15.94710200075034</x:v>
      </x:c>
      <x:c r="D77" s="19" t="n">
        <x:f>200*('Месяцы_рынки'!E62-'Месяцы_рынки'!E50)/('Месяцы_рынки'!E62+'Месяцы_рынки'!E50)</x:f>
        <x:v>21.829588827474616</x:v>
      </x:c>
      <x:c r="E77" s="19" t="n">
        <x:f>200*('Месяцы_рынки'!F62-'Месяцы_рынки'!F50)/('Месяцы_рынки'!F62+'Месяцы_рынки'!F50)</x:f>
        <x:v>7.744988977958646</x:v>
      </x:c>
      <x:c r="F77" s="19" t="n">
        <x:f>200*('Месяцы_рынки'!G62-'Месяцы_рынки'!G50)/('Месяцы_рынки'!G62+'Месяцы_рынки'!G50)</x:f>
        <x:v>-22.66152366230966</x:v>
      </x:c>
      <x:c r="G77" s="19" t="n">
        <x:f>200*('Месяцы_рынки'!H62-'Месяцы_рынки'!H50)/('Месяцы_рынки'!H62+'Месяцы_рынки'!H50)</x:f>
        <x:v>11.537334583191816</x:v>
      </x:c>
      <x:c r="H77" s="19" t="n">
        <x:f>200*('Месяцы_рынки'!I62-'Месяцы_рынки'!I50)/('Месяцы_рынки'!I62+'Месяцы_рынки'!I50)</x:f>
        <x:v>15.545507206751187</x:v>
      </x:c>
      <x:c r="I77" s="19" t="n">
        <x:f>200*('Месяцы_рынки'!J62-'Месяцы_рынки'!J50)/('Месяцы_рынки'!J62+'Месяцы_рынки'!J50)</x:f>
        <x:v>29.828599731919986</x:v>
      </x:c>
      <x:c r="J77" s="19" t="n">
        <x:f>200*('Месяцы_рынки'!K62-'Месяцы_рынки'!K50)/('Месяцы_рынки'!K62+'Месяцы_рынки'!K50)</x:f>
        <x:v>4.7284011675445505</x:v>
      </x:c>
    </x:row>
    <x:row r="78" ht="22" customHeight="1">
      <x:c r="A78" s="20" t="d">
        <x:v>2021-09-01T00:00:00.000Z</x:v>
      </x:c>
      <x:c r="B78" s="19" t="n">
        <x:f>200*('Месяцы_рынки'!C63-'Месяцы_рынки'!C51)/('Месяцы_рынки'!C63+'Месяцы_рынки'!C51)</x:f>
        <x:v>48.69716664989342</x:v>
      </x:c>
      <x:c r="C78" s="19" t="n">
        <x:f>200*('Месяцы_рынки'!D63-'Месяцы_рынки'!D51)/('Месяцы_рынки'!D63+'Месяцы_рынки'!D51)</x:f>
        <x:v>-25.02258345226136</x:v>
      </x:c>
      <x:c r="D78" s="19" t="n">
        <x:f>200*('Месяцы_рынки'!E63-'Месяцы_рынки'!E51)/('Месяцы_рынки'!E63+'Месяцы_рынки'!E51)</x:f>
        <x:v>20.69296213484245</x:v>
      </x:c>
      <x:c r="E78" s="19" t="n">
        <x:f>200*('Месяцы_рынки'!F63-'Месяцы_рынки'!F51)/('Месяцы_рынки'!F63+'Месяцы_рынки'!F51)</x:f>
        <x:v>-9.76277397734218</x:v>
      </x:c>
      <x:c r="F78" s="19" t="n">
        <x:f>200*('Месяцы_рынки'!G63-'Месяцы_рынки'!G51)/('Месяцы_рынки'!G63+'Месяцы_рынки'!G51)</x:f>
        <x:v>-86.48561431503848</x:v>
      </x:c>
      <x:c r="G78" s="19" t="n">
        <x:f>200*('Месяцы_рынки'!H63-'Месяцы_рынки'!H51)/('Месяцы_рынки'!H63+'Месяцы_рынки'!H51)</x:f>
        <x:v>21.34071941034568</x:v>
      </x:c>
      <x:c r="H78" s="19" t="n">
        <x:f>200*('Месяцы_рынки'!I63-'Месяцы_рынки'!I51)/('Месяцы_рынки'!I63+'Месяцы_рынки'!I51)</x:f>
        <x:v>5.747283700564691</x:v>
      </x:c>
      <x:c r="I78" s="19" t="n">
        <x:f>200*('Месяцы_рынки'!J63-'Месяцы_рынки'!J51)/('Месяцы_рынки'!J63+'Месяцы_рынки'!J51)</x:f>
        <x:v>21.2671554427622</x:v>
      </x:c>
      <x:c r="J78" s="19" t="n">
        <x:f>200*('Месяцы_рынки'!K63-'Месяцы_рынки'!K51)/('Месяцы_рынки'!K63+'Месяцы_рынки'!K51)</x:f>
        <x:v>8.109683579125347</x:v>
      </x:c>
    </x:row>
    <x:row r="79" ht="22" customHeight="1">
      <x:c r="A79" s="20" t="d">
        <x:v>2021-10-01T00:00:00.000Z</x:v>
      </x:c>
      <x:c r="B79" s="19" t="n">
        <x:f>200*('Месяцы_рынки'!C64-'Месяцы_рынки'!C52)/('Месяцы_рынки'!C64+'Месяцы_рынки'!C52)</x:f>
        <x:v>48.62084105134629</x:v>
      </x:c>
      <x:c r="C79" s="19" t="n">
        <x:f>200*('Месяцы_рынки'!D64-'Месяцы_рынки'!D52)/('Месяцы_рынки'!D64+'Месяцы_рынки'!D52)</x:f>
        <x:v>1.932581061350656</x:v>
      </x:c>
      <x:c r="D79" s="19" t="n">
        <x:f>200*('Месяцы_рынки'!E64-'Месяцы_рынки'!E52)/('Месяцы_рынки'!E64+'Месяцы_рынки'!E52)</x:f>
        <x:v>15.969130897102666</x:v>
      </x:c>
      <x:c r="E79" s="19" t="n">
        <x:f>200*('Месяцы_рынки'!F64-'Месяцы_рынки'!F52)/('Месяцы_рынки'!F64+'Месяцы_рынки'!F52)</x:f>
        <x:v>-18.276712609188415</x:v>
      </x:c>
      <x:c r="F79" s="19" t="n">
        <x:f>200*('Месяцы_рынки'!G64-'Месяцы_рынки'!G52)/('Месяцы_рынки'!G64+'Месяцы_рынки'!G52)</x:f>
        <x:v>-105.05528599878498</x:v>
      </x:c>
      <x:c r="G79" s="19" t="n">
        <x:f>200*('Месяцы_рынки'!H64-'Месяцы_рынки'!H52)/('Месяцы_рынки'!H64+'Месяцы_рынки'!H52)</x:f>
        <x:v>11.750521537633265</x:v>
      </x:c>
      <x:c r="H79" s="19" t="n">
        <x:f>200*('Месяцы_рынки'!I64-'Месяцы_рынки'!I52)/('Месяцы_рынки'!I64+'Месяцы_рынки'!I52)</x:f>
        <x:v>4.746955812270096</x:v>
      </x:c>
      <x:c r="I79" s="19" t="n">
        <x:f>200*('Месяцы_рынки'!J64-'Месяцы_рынки'!J52)/('Месяцы_рынки'!J64+'Месяцы_рынки'!J52)</x:f>
        <x:v>3.154039651885346</x:v>
      </x:c>
      <x:c r="J79" s="19" t="n">
        <x:f>200*('Месяцы_рынки'!K64-'Месяцы_рынки'!K52)/('Месяцы_рынки'!K64+'Месяцы_рынки'!K52)</x:f>
        <x:v>2.5771850855597735</x:v>
      </x:c>
    </x:row>
    <x:row r="80" ht="22" customHeight="1">
      <x:c r="A80" s="20" t="d">
        <x:v>2021-11-01T00:00:00.000Z</x:v>
      </x:c>
      <x:c r="B80" s="19" t="n">
        <x:f>200*('Месяцы_рынки'!C65-'Месяцы_рынки'!C53)/('Месяцы_рынки'!C65+'Месяцы_рынки'!C53)</x:f>
        <x:v>52.179828851770765</x:v>
      </x:c>
      <x:c r="C80" s="19" t="n">
        <x:f>200*('Месяцы_рынки'!D65-'Месяцы_рынки'!D53)/('Месяцы_рынки'!D65+'Месяцы_рынки'!D53)</x:f>
        <x:v>-13.400289835947449</x:v>
      </x:c>
      <x:c r="D80" s="19" t="n">
        <x:f>200*('Месяцы_рынки'!E65-'Месяцы_рынки'!E53)/('Месяцы_рынки'!E65+'Месяцы_рынки'!E53)</x:f>
        <x:v>15.37899145784556</x:v>
      </x:c>
      <x:c r="E80" s="19" t="n">
        <x:f>200*('Месяцы_рынки'!F65-'Месяцы_рынки'!F53)/('Месяцы_рынки'!F65+'Месяцы_рынки'!F53)</x:f>
        <x:v>31.04999870926304</x:v>
      </x:c>
      <x:c r="F80" s="19" t="n">
        <x:f>200*('Месяцы_рынки'!G65-'Месяцы_рынки'!G53)/('Месяцы_рынки'!G65+'Месяцы_рынки'!G53)</x:f>
        <x:v>-97.53861658332474</x:v>
      </x:c>
      <x:c r="G80" s="19" t="n">
        <x:f>200*('Месяцы_рынки'!H65-'Месяцы_рынки'!H53)/('Месяцы_рынки'!H65+'Месяцы_рынки'!H53)</x:f>
        <x:v>18.665503484240364</x:v>
      </x:c>
      <x:c r="H80" s="19" t="n">
        <x:f>200*('Месяцы_рынки'!I65-'Месяцы_рынки'!I53)/('Месяцы_рынки'!I65+'Месяцы_рынки'!I53)</x:f>
        <x:v>12.055467878762999</x:v>
      </x:c>
      <x:c r="I80" s="19" t="n">
        <x:f>200*('Месяцы_рынки'!J65-'Месяцы_рынки'!J53)/('Месяцы_рынки'!J65+'Месяцы_рынки'!J53)</x:f>
        <x:v>12.487959334668387</x:v>
      </x:c>
      <x:c r="J80" s="19" t="n">
        <x:f>200*('Месяцы_рынки'!K65-'Месяцы_рынки'!K53)/('Месяцы_рынки'!K65+'Месяцы_рынки'!K53)</x:f>
        <x:v>12.467703271280845</x:v>
      </x:c>
    </x:row>
    <x:row r="81" ht="22" customHeight="1">
      <x:c r="A81" s="20" t="d">
        <x:v>2021-12-01T00:00:00.000Z</x:v>
      </x:c>
      <x:c r="B81" s="19" t="n">
        <x:f>200*('Месяцы_рынки'!C66-'Месяцы_рынки'!C54)/('Месяцы_рынки'!C66+'Месяцы_рынки'!C54)</x:f>
        <x:v>45.92238690917376</x:v>
      </x:c>
      <x:c r="C81" s="19" t="n">
        <x:f>200*('Месяцы_рынки'!D66-'Месяцы_рынки'!D54)/('Месяцы_рынки'!D66+'Месяцы_рынки'!D54)</x:f>
        <x:v>-25.49167931282452</x:v>
      </x:c>
      <x:c r="D81" s="19" t="n">
        <x:f>200*('Месяцы_рынки'!E66-'Месяцы_рынки'!E54)/('Месяцы_рынки'!E66+'Месяцы_рынки'!E54)</x:f>
        <x:v>32.37089073958848</x:v>
      </x:c>
      <x:c r="E81" s="19" t="n">
        <x:f>200*('Месяцы_рынки'!F66-'Месяцы_рынки'!F54)/('Месяцы_рынки'!F66+'Месяцы_рынки'!F54)</x:f>
        <x:v>42.80423339508883</x:v>
      </x:c>
      <x:c r="F81" s="19" t="n">
        <x:f>200*('Месяцы_рынки'!G66-'Месяцы_рынки'!G54)/('Месяцы_рынки'!G66+'Месяцы_рынки'!G54)</x:f>
        <x:v>-65.4588150989992</x:v>
      </x:c>
      <x:c r="G81" s="19" t="n">
        <x:f>200*('Месяцы_рынки'!H66-'Месяцы_рынки'!H54)/('Месяцы_рынки'!H66+'Месяцы_рынки'!H54)</x:f>
        <x:v>16.691213964606227</x:v>
      </x:c>
      <x:c r="H81" s="19" t="n">
        <x:f>200*('Месяцы_рынки'!I66-'Месяцы_рынки'!I54)/('Месяцы_рынки'!I66+'Месяцы_рынки'!I54)</x:f>
        <x:v>3.550019246107189</x:v>
      </x:c>
      <x:c r="I81" s="19" t="n">
        <x:f>200*('Месяцы_рынки'!J66-'Месяцы_рынки'!J54)/('Месяцы_рынки'!J66+'Месяцы_рынки'!J54)</x:f>
        <x:v>7.52405653715711</x:v>
      </x:c>
      <x:c r="J81" s="19" t="n">
        <x:f>200*('Месяцы_рынки'!K66-'Месяцы_рынки'!K54)/('Месяцы_рынки'!K66+'Месяцы_рынки'!K54)</x:f>
        <x:v>24.827529078974756</x:v>
      </x:c>
    </x:row>
    <x:row r="82" ht="22" customHeight="1">
      <x:c r="A82" s="20" t="d">
        <x:v>2022-01-01T00:00:00.000Z</x:v>
      </x:c>
      <x:c r="B82" s="19" t="n">
        <x:f>200*('Месяцы_рынки'!C67-'Месяцы_рынки'!C55)/('Месяцы_рынки'!C67+'Месяцы_рынки'!C55)</x:f>
        <x:v>11.359628945541909</x:v>
      </x:c>
      <x:c r="C82" s="19" t="n">
        <x:f>200*('Месяцы_рынки'!D67-'Месяцы_рынки'!D55)/('Месяцы_рынки'!D67+'Месяцы_рынки'!D55)</x:f>
        <x:v>-22.07582374260296</x:v>
      </x:c>
      <x:c r="D82" s="19" t="n">
        <x:f>200*('Месяцы_рынки'!E67-'Месяцы_рынки'!E55)/('Месяцы_рынки'!E67+'Месяцы_рынки'!E55)</x:f>
        <x:v>15.960527410308746</x:v>
      </x:c>
      <x:c r="E82" s="19" t="n">
        <x:f>200*('Месяцы_рынки'!F67-'Месяцы_рынки'!F55)/('Месяцы_рынки'!F67+'Месяцы_рынки'!F55)</x:f>
        <x:v>7.576754320425704</x:v>
      </x:c>
      <x:c r="F82" s="19" t="n">
        <x:f>200*('Месяцы_рынки'!G67-'Месяцы_рынки'!G55)/('Месяцы_рынки'!G67+'Месяцы_рынки'!G55)</x:f>
        <x:v>-84.06080600963487</x:v>
      </x:c>
      <x:c r="G82" s="19" t="n">
        <x:f>200*('Месяцы_рынки'!H67-'Месяцы_рынки'!H55)/('Месяцы_рынки'!H67+'Месяцы_рынки'!H55)</x:f>
        <x:v>15.853337273889409</x:v>
      </x:c>
      <x:c r="H82" s="19" t="n">
        <x:f>200*('Месяцы_рынки'!I67-'Месяцы_рынки'!I55)/('Месяцы_рынки'!I67+'Месяцы_рынки'!I55)</x:f>
        <x:v>3.69238116564498</x:v>
      </x:c>
      <x:c r="I82" s="19" t="n">
        <x:f>200*('Месяцы_рынки'!J67-'Месяцы_рынки'!J55)/('Месяцы_рынки'!J67+'Месяцы_рынки'!J55)</x:f>
        <x:v>-0.5982935182775511</x:v>
      </x:c>
      <x:c r="J82" s="19" t="n">
        <x:f>200*('Месяцы_рынки'!K67-'Месяцы_рынки'!K55)/('Месяцы_рынки'!K67+'Месяцы_рынки'!K55)</x:f>
        <x:v>4.54463542659218</x:v>
      </x:c>
    </x:row>
    <x:row r="83" ht="22" customHeight="1">
      <x:c r="A83" s="20" t="d">
        <x:v>2022-02-01T00:00:00.000Z</x:v>
      </x:c>
      <x:c r="B83" s="19" t="n">
        <x:f>200*('Месяцы_рынки'!C68-'Месяцы_рынки'!C56)/('Месяцы_рынки'!C68+'Месяцы_рынки'!C56)</x:f>
        <x:v>14.979990178434281</x:v>
      </x:c>
      <x:c r="C83" s="19" t="n">
        <x:f>200*('Месяцы_рынки'!D68-'Месяцы_рынки'!D56)/('Месяцы_рынки'!D68+'Месяцы_рынки'!D56)</x:f>
        <x:v>0.16064531683372824</x:v>
      </x:c>
      <x:c r="D83" s="19" t="n">
        <x:f>200*('Месяцы_рынки'!E68-'Месяцы_рынки'!E56)/('Месяцы_рынки'!E68+'Месяцы_рынки'!E56)</x:f>
        <x:v>17.00892506179715</x:v>
      </x:c>
      <x:c r="E83" s="19" t="n">
        <x:f>200*('Месяцы_рынки'!F68-'Месяцы_рынки'!F56)/('Месяцы_рынки'!F68+'Месяцы_рынки'!F56)</x:f>
        <x:v>42.36458765144841</x:v>
      </x:c>
      <x:c r="F83" s="19" t="n">
        <x:f>200*('Месяцы_рынки'!G68-'Месяцы_рынки'!G56)/('Месяцы_рынки'!G68+'Месяцы_рынки'!G56)</x:f>
        <x:v>-58.80949099251713</x:v>
      </x:c>
      <x:c r="G83" s="19" t="n">
        <x:f>200*('Месяцы_рынки'!H68-'Месяцы_рынки'!H56)/('Месяцы_рынки'!H68+'Месяцы_рынки'!H56)</x:f>
        <x:v>32.79321363220972</x:v>
      </x:c>
      <x:c r="H83" s="19" t="n">
        <x:f>200*('Месяцы_рынки'!I68-'Месяцы_рынки'!I56)/('Месяцы_рынки'!I68+'Месяцы_рынки'!I56)</x:f>
        <x:v>26.35544648400964</x:v>
      </x:c>
      <x:c r="I83" s="19" t="n">
        <x:f>200*('Месяцы_рынки'!J68-'Месяцы_рынки'!J56)/('Месяцы_рынки'!J68+'Месяцы_рынки'!J56)</x:f>
        <x:v>3.104380003879449</x:v>
      </x:c>
      <x:c r="J83" s="19" t="n">
        <x:f>200*('Месяцы_рынки'!K68-'Месяцы_рынки'!K56)/('Месяцы_рынки'!K68+'Месяцы_рынки'!K56)</x:f>
        <x:v>8.447676727817026</x:v>
      </x:c>
    </x:row>
    <x:row r="84" ht="22" customHeight="1">
      <x:c r="A84" s="20" t="d">
        <x:v>2022-03-01T00:00:00.000Z</x:v>
      </x:c>
      <x:c r="B84" s="19" t="n">
        <x:f>200*('Месяцы_рынки'!C69-'Месяцы_рынки'!C57)/('Месяцы_рынки'!C69+'Месяцы_рынки'!C57)</x:f>
        <x:v>-3.7186131892968133</x:v>
      </x:c>
      <x:c r="C84" s="19" t="n">
        <x:f>200*('Месяцы_рынки'!D69-'Месяцы_рынки'!D57)/('Месяцы_рынки'!D69+'Месяцы_рынки'!D57)</x:f>
        <x:v>21.879500759939987</x:v>
      </x:c>
      <x:c r="D84" s="19" t="n">
        <x:f>200*('Месяцы_рынки'!E69-'Месяцы_рынки'!E57)/('Месяцы_рынки'!E69+'Месяцы_рынки'!E57)</x:f>
        <x:v>9.216743231064706</x:v>
      </x:c>
      <x:c r="E84" s="19" t="n">
        <x:f>200*('Месяцы_рынки'!F69-'Месяцы_рынки'!F57)/('Месяцы_рынки'!F69+'Месяцы_рынки'!F57)</x:f>
        <x:v>36.939679033732524</x:v>
      </x:c>
      <x:c r="F84" s="19" t="n">
        <x:f>200*('Месяцы_рынки'!G69-'Месяцы_рынки'!G57)/('Месяцы_рынки'!G69+'Месяцы_рынки'!G57)</x:f>
        <x:v>-59.851438245040924</x:v>
      </x:c>
      <x:c r="G84" s="19" t="n">
        <x:f>200*('Месяцы_рынки'!H69-'Месяцы_рынки'!H57)/('Месяцы_рынки'!H69+'Месяцы_рынки'!H57)</x:f>
        <x:v>13.37993693341316</x:v>
      </x:c>
      <x:c r="H84" s="19" t="n">
        <x:f>200*('Месяцы_рынки'!I69-'Месяцы_рынки'!I57)/('Месяцы_рынки'!I69+'Месяцы_рынки'!I57)</x:f>
        <x:v>-13.331007796136857</x:v>
      </x:c>
      <x:c r="I84" s="19" t="n">
        <x:f>200*('Месяцы_рынки'!J69-'Месяцы_рынки'!J57)/('Месяцы_рынки'!J69+'Месяцы_рынки'!J57)</x:f>
        <x:v>16.866609100202066</x:v>
      </x:c>
      <x:c r="J84" s="19" t="n">
        <x:f>200*('Месяцы_рынки'!K69-'Месяцы_рынки'!K57)/('Месяцы_рынки'!K69+'Месяцы_рынки'!K57)</x:f>
        <x:v>6.450101597249121</x:v>
      </x:c>
    </x:row>
    <x:row r="85" ht="22" customHeight="1">
      <x:c r="A85" s="20" t="d">
        <x:v>2022-04-01T00:00:00.000Z</x:v>
      </x:c>
      <x:c r="B85" s="19" t="n">
        <x:f>200*('Месяцы_рынки'!C70-'Месяцы_рынки'!C58)/('Месяцы_рынки'!C70+'Месяцы_рынки'!C58)</x:f>
        <x:v>-19.249730801727</x:v>
      </x:c>
      <x:c r="C85" s="19" t="n">
        <x:f>200*('Месяцы_рынки'!D70-'Месяцы_рынки'!D58)/('Месяцы_рынки'!D70+'Месяцы_рынки'!D58)</x:f>
        <x:v>-19.817447546622954</x:v>
      </x:c>
      <x:c r="D85" s="19" t="n">
        <x:f>200*('Месяцы_рынки'!E70-'Месяцы_рынки'!E58)/('Месяцы_рынки'!E70+'Месяцы_рынки'!E58)</x:f>
        <x:v>13.519661875500802</x:v>
      </x:c>
      <x:c r="E85" s="19" t="n">
        <x:f>200*('Месяцы_рынки'!F70-'Месяцы_рынки'!F58)/('Месяцы_рынки'!F70+'Месяцы_рынки'!F58)</x:f>
        <x:v>-56.78565165244322</x:v>
      </x:c>
      <x:c r="F85" s="19" t="n">
        <x:f>200*('Месяцы_рынки'!G70-'Месяцы_рынки'!G58)/('Месяцы_рынки'!G70+'Месяцы_рынки'!G58)</x:f>
        <x:v>-46.405514219576986</x:v>
      </x:c>
      <x:c r="G85" s="19" t="n">
        <x:f>200*('Месяцы_рынки'!H70-'Месяцы_рынки'!H58)/('Месяцы_рынки'!H70+'Месяцы_рынки'!H58)</x:f>
        <x:v>-12.137253913031017</x:v>
      </x:c>
      <x:c r="H85" s="19" t="n">
        <x:f>200*('Месяцы_рынки'!I70-'Месяцы_рынки'!I58)/('Месяцы_рынки'!I70+'Месяцы_рынки'!I58)</x:f>
        <x:v>-4.209193342033437</x:v>
      </x:c>
      <x:c r="I85" s="19" t="n">
        <x:f>200*('Месяцы_рынки'!J70-'Месяцы_рынки'!J58)/('Месяцы_рынки'!J70+'Месяцы_рынки'!J58)</x:f>
        <x:v>-10.176671204549601</x:v>
      </x:c>
      <x:c r="J85" s="19" t="n">
        <x:f>200*('Месяцы_рынки'!K70-'Месяцы_рынки'!K58)/('Месяцы_рынки'!K70+'Месяцы_рынки'!K58)</x:f>
        <x:v>12.131306758575546</x:v>
      </x:c>
    </x:row>
    <x:row r="86" ht="22" customHeight="1">
      <x:c r="A86" s="20" t="d">
        <x:v>2022-05-01T00:00:00.000Z</x:v>
      </x:c>
      <x:c r="B86" s="19" t="n">
        <x:f>200*('Месяцы_рынки'!C71-'Месяцы_рынки'!C59)/('Месяцы_рынки'!C71+'Месяцы_рынки'!C59)</x:f>
        <x:v>-14.22153773773776</x:v>
      </x:c>
      <x:c r="C86" s="19" t="n">
        <x:f>200*('Месяцы_рынки'!D71-'Месяцы_рынки'!D59)/('Месяцы_рынки'!D71+'Месяцы_рынки'!D59)</x:f>
        <x:v>24.905822248986784</x:v>
      </x:c>
      <x:c r="D86" s="19" t="n">
        <x:f>200*('Месяцы_рынки'!E71-'Месяцы_рынки'!E59)/('Месяцы_рынки'!E71+'Месяцы_рынки'!E59)</x:f>
        <x:v>13.11408141293883</x:v>
      </x:c>
      <x:c r="E86" s="19" t="n">
        <x:f>200*('Месяцы_рынки'!F71-'Месяцы_рынки'!F59)/('Месяцы_рынки'!F71+'Месяцы_рынки'!F59)</x:f>
        <x:v>-9.615901910390988</x:v>
      </x:c>
      <x:c r="F86" s="19" t="n">
        <x:f>200*('Месяцы_рынки'!G71-'Месяцы_рынки'!G59)/('Месяцы_рынки'!G71+'Месяцы_рынки'!G59)</x:f>
        <x:v>-26.128744555419438</x:v>
      </x:c>
      <x:c r="G86" s="19" t="n">
        <x:f>200*('Месяцы_рынки'!H71-'Месяцы_рынки'!H59)/('Месяцы_рынки'!H71+'Месяцы_рынки'!H59)</x:f>
        <x:v>-3.8863196547923455</x:v>
      </x:c>
      <x:c r="H86" s="19" t="n">
        <x:f>200*('Месяцы_рынки'!I71-'Месяцы_рынки'!I59)/('Месяцы_рынки'!I71+'Месяцы_рынки'!I59)</x:f>
        <x:v>6.333244908979881</x:v>
      </x:c>
      <x:c r="I86" s="19" t="n">
        <x:f>200*('Месяцы_рынки'!J71-'Месяцы_рынки'!J59)/('Месяцы_рынки'!J71+'Месяцы_рынки'!J59)</x:f>
        <x:v>16.45793324088427</x:v>
      </x:c>
      <x:c r="J86" s="19" t="n">
        <x:f>200*('Месяцы_рынки'!K71-'Месяцы_рынки'!K59)/('Месяцы_рынки'!K71+'Месяцы_рынки'!K59)</x:f>
        <x:v>20.082280876146317</x:v>
      </x:c>
    </x:row>
    <x:row r="87" ht="22" customHeight="1">
      <x:c r="A87" s="20" t="d">
        <x:v>2022-06-01T00:00:00.000Z</x:v>
      </x:c>
      <x:c r="B87" s="19" t="n">
        <x:f>200*('Месяцы_рынки'!C72-'Месяцы_рынки'!C60)/('Месяцы_рынки'!C72+'Месяцы_рынки'!C60)</x:f>
        <x:v>21.7405697064149</x:v>
      </x:c>
      <x:c r="C87" s="19" t="n">
        <x:f>200*('Месяцы_рынки'!D72-'Месяцы_рынки'!D60)/('Месяцы_рынки'!D72+'Месяцы_рынки'!D60)</x:f>
        <x:v>19.22318554667126</x:v>
      </x:c>
      <x:c r="D87" s="19" t="n">
        <x:f>200*('Месяцы_рынки'!E72-'Месяцы_рынки'!E60)/('Месяцы_рынки'!E72+'Месяцы_рынки'!E60)</x:f>
        <x:v>8.320132891136494</x:v>
      </x:c>
      <x:c r="E87" s="19" t="n">
        <x:f>200*('Месяцы_рынки'!F72-'Месяцы_рынки'!F60)/('Месяцы_рынки'!F72+'Месяцы_рынки'!F60)</x:f>
        <x:v>33.952985412301274</x:v>
      </x:c>
      <x:c r="F87" s="19" t="n">
        <x:f>200*('Месяцы_рынки'!G72-'Месяцы_рынки'!G60)/('Месяцы_рынки'!G72+'Месяцы_рынки'!G60)</x:f>
        <x:v>-18.86872156545912</x:v>
      </x:c>
      <x:c r="G87" s="19" t="n">
        <x:f>200*('Месяцы_рынки'!H72-'Месяцы_рынки'!H60)/('Месяцы_рынки'!H72+'Месяцы_рынки'!H60)</x:f>
        <x:v>14.21101941278897</x:v>
      </x:c>
      <x:c r="H87" s="19" t="n">
        <x:f>200*('Месяцы_рынки'!I72-'Месяцы_рынки'!I60)/('Месяцы_рынки'!I72+'Месяцы_рынки'!I60)</x:f>
        <x:v>-1.0723904190582076</x:v>
      </x:c>
      <x:c r="I87" s="19" t="n">
        <x:f>200*('Месяцы_рынки'!J72-'Месяцы_рынки'!J60)/('Месяцы_рынки'!J72+'Месяцы_рынки'!J60)</x:f>
        <x:v>13.282624755008667</x:v>
      </x:c>
      <x:c r="J87" s="19" t="n">
        <x:f>200*('Месяцы_рынки'!K72-'Месяцы_рынки'!K60)/('Месяцы_рынки'!K72+'Месяцы_рынки'!K60)</x:f>
        <x:v>17.393173416533713</x:v>
      </x:c>
    </x:row>
    <x:row r="88" ht="22" customHeight="1">
      <x:c r="A88" s="20" t="d">
        <x:v>2022-07-01T00:00:00.000Z</x:v>
      </x:c>
      <x:c r="B88" s="19" t="n">
        <x:f>200*('Месяцы_рынки'!C73-'Месяцы_рынки'!C61)/('Месяцы_рынки'!C73+'Месяцы_рынки'!C61)</x:f>
        <x:v>3.5231498544450415</x:v>
      </x:c>
      <x:c r="C88" s="19" t="n">
        <x:f>200*('Месяцы_рынки'!D73-'Месяцы_рынки'!D61)/('Месяцы_рынки'!D73+'Месяцы_рынки'!D61)</x:f>
        <x:v>13.381893652360997</x:v>
      </x:c>
      <x:c r="D88" s="19" t="n">
        <x:f>200*('Месяцы_рынки'!E73-'Месяцы_рынки'!E61)/('Месяцы_рынки'!E73+'Месяцы_рынки'!E61)</x:f>
        <x:v>-13.61322073228079</x:v>
      </x:c>
      <x:c r="E88" s="19" t="n">
        <x:f>200*('Месяцы_рынки'!F73-'Месяцы_рынки'!F61)/('Месяцы_рынки'!F73+'Месяцы_рынки'!F61)</x:f>
        <x:v>-6.1115482107844965</x:v>
      </x:c>
      <x:c r="F88" s="19" t="n">
        <x:f>200*('Месяцы_рынки'!G73-'Месяцы_рынки'!G61)/('Месяцы_рынки'!G73+'Месяцы_рынки'!G61)</x:f>
        <x:v>-17.999388382839676</x:v>
      </x:c>
      <x:c r="G88" s="19" t="n">
        <x:f>200*('Месяцы_рынки'!H73-'Месяцы_рынки'!H61)/('Месяцы_рынки'!H73+'Месяцы_рынки'!H61)</x:f>
        <x:v>1.304346097128273</x:v>
      </x:c>
      <x:c r="H88" s="19" t="n">
        <x:f>200*('Месяцы_рынки'!I73-'Месяцы_рынки'!I61)/('Месяцы_рынки'!I73+'Месяцы_рынки'!I61)</x:f>
        <x:v>-5.817278074472485</x:v>
      </x:c>
      <x:c r="I88" s="19" t="n">
        <x:f>200*('Месяцы_рынки'!J73-'Месяцы_рынки'!J61)/('Месяцы_рынки'!J73+'Месяцы_рынки'!J61)</x:f>
        <x:v>1.0980981473495495</x:v>
      </x:c>
      <x:c r="J88" s="19" t="n">
        <x:f>200*('Месяцы_рынки'!K73-'Месяцы_рынки'!K61)/('Месяцы_рынки'!K73+'Месяцы_рынки'!K61)</x:f>
        <x:v>18.169585345504945</x:v>
      </x:c>
    </x:row>
    <x:row r="89" ht="22" customHeight="1">
      <x:c r="A89" s="20" t="d">
        <x:v>2022-08-01T00:00:00.000Z</x:v>
      </x:c>
      <x:c r="B89" s="19" t="n">
        <x:f>200*('Месяцы_рынки'!C74-'Месяцы_рынки'!C62)/('Месяцы_рынки'!C74+'Месяцы_рынки'!C62)</x:f>
        <x:v>-43.155656593822194</x:v>
      </x:c>
      <x:c r="C89" s="19" t="n">
        <x:f>200*('Месяцы_рынки'!D74-'Месяцы_рынки'!D62)/('Месяцы_рынки'!D74+'Месяцы_рынки'!D62)</x:f>
        <x:v>0.7329706607189134</x:v>
      </x:c>
      <x:c r="D89" s="19" t="n">
        <x:f>200*('Месяцы_рынки'!E74-'Месяцы_рынки'!E62)/('Месяцы_рынки'!E74+'Месяцы_рынки'!E62)</x:f>
        <x:v>-36.801524736898486</x:v>
      </x:c>
      <x:c r="E89" s="19" t="n">
        <x:f>200*('Месяцы_рынки'!F74-'Месяцы_рынки'!F62)/('Месяцы_рынки'!F74+'Месяцы_рынки'!F62)</x:f>
        <x:v>37.777543402374974</x:v>
      </x:c>
      <x:c r="F89" s="19" t="n">
        <x:f>200*('Месяцы_рынки'!G74-'Месяцы_рынки'!G62)/('Месяцы_рынки'!G74+'Месяцы_рынки'!G62)</x:f>
        <x:v>7.688118122501772</x:v>
      </x:c>
      <x:c r="G89" s="19" t="n">
        <x:f>200*('Месяцы_рынки'!H74-'Месяцы_рынки'!H62)/('Месяцы_рынки'!H74+'Месяцы_рынки'!H62)</x:f>
        <x:v>-9.079071860931647</x:v>
      </x:c>
      <x:c r="H89" s="19" t="n">
        <x:f>200*('Месяцы_рынки'!I74-'Месяцы_рынки'!I62)/('Месяцы_рынки'!I74+'Месяцы_рынки'!I62)</x:f>
        <x:v>-7.063585806469046</x:v>
      </x:c>
      <x:c r="I89" s="19" t="n">
        <x:f>200*('Месяцы_рынки'!J74-'Месяцы_рынки'!J62)/('Месяцы_рынки'!J74+'Месяцы_рынки'!J62)</x:f>
        <x:v>-17.070937791582775</x:v>
      </x:c>
      <x:c r="J89" s="19" t="n">
        <x:f>200*('Месяцы_рынки'!K74-'Месяцы_рынки'!K62)/('Месяцы_рынки'!K74+'Месяцы_рынки'!K62)</x:f>
        <x:v>28.754908393187307</x:v>
      </x:c>
    </x:row>
    <x:row r="90" ht="22" customHeight="1">
      <x:c r="A90" s="20" t="d">
        <x:v>2022-09-01T00:00:00.000Z</x:v>
      </x:c>
      <x:c r="B90" s="19" t="n">
        <x:f>200*('Месяцы_рынки'!C75-'Месяцы_рынки'!C63)/('Месяцы_рынки'!C75+'Месяцы_рынки'!C63)</x:f>
        <x:v>-2.5123055267627574</x:v>
      </x:c>
      <x:c r="C90" s="19" t="n">
        <x:f>200*('Месяцы_рынки'!D75-'Месяцы_рынки'!D63)/('Месяцы_рынки'!D75+'Месяцы_рынки'!D63)</x:f>
        <x:v>2.9307207489259244</x:v>
      </x:c>
      <x:c r="D90" s="19" t="n">
        <x:f>200*('Месяцы_рынки'!E75-'Месяцы_рынки'!E63)/('Месяцы_рынки'!E75+'Месяцы_рынки'!E63)</x:f>
        <x:v>-29.53284677519831</x:v>
      </x:c>
      <x:c r="E90" s="19" t="n">
        <x:f>200*('Месяцы_рынки'!F75-'Месяцы_рынки'!F63)/('Месяцы_рынки'!F75+'Месяцы_рынки'!F63)</x:f>
        <x:v>46.55991305430111</x:v>
      </x:c>
      <x:c r="F90" s="19" t="n">
        <x:f>200*('Месяцы_рынки'!G75-'Месяцы_рынки'!G63)/('Месяцы_рынки'!G75+'Месяцы_рынки'!G63)</x:f>
        <x:v>-10.68691689181109</x:v>
      </x:c>
      <x:c r="G90" s="19" t="n">
        <x:f>200*('Месяцы_рынки'!H75-'Месяцы_рынки'!H63)/('Месяцы_рынки'!H75+'Месяцы_рынки'!H63)</x:f>
        <x:v>-22.563922634122697</x:v>
      </x:c>
      <x:c r="H90" s="19" t="n">
        <x:f>200*('Месяцы_рынки'!I75-'Месяцы_рынки'!I63)/('Месяцы_рынки'!I75+'Месяцы_рынки'!I63)</x:f>
        <x:v>25.763201377335967</x:v>
      </x:c>
      <x:c r="I90" s="19" t="n">
        <x:f>200*('Месяцы_рынки'!J75-'Месяцы_рынки'!J63)/('Месяцы_рынки'!J75+'Месяцы_рынки'!J63)</x:f>
        <x:v>-5.9216442828973355</x:v>
      </x:c>
      <x:c r="J90" s="19" t="n">
        <x:f>200*('Месяцы_рынки'!K75-'Месяцы_рынки'!K63)/('Месяцы_рынки'!K75+'Месяцы_рынки'!K63)</x:f>
        <x:v>10.849606820954218</x:v>
      </x:c>
    </x:row>
    <x:row r="91" ht="22" customHeight="1">
      <x:c r="A91" s="20" t="d">
        <x:v>2022-10-01T00:00:00.000Z</x:v>
      </x:c>
      <x:c r="B91" s="19" t="n">
        <x:f>200*('Месяцы_рынки'!C76-'Месяцы_рынки'!C64)/('Месяцы_рынки'!C76+'Месяцы_рынки'!C64)</x:f>
        <x:v>-13.66986046668399</x:v>
      </x:c>
      <x:c r="C91" s="19" t="n">
        <x:f>200*('Месяцы_рынки'!D76-'Месяцы_рынки'!D64)/('Месяцы_рынки'!D76+'Месяцы_рынки'!D64)</x:f>
        <x:v>-1.5083237419261446</x:v>
      </x:c>
      <x:c r="D91" s="19" t="n">
        <x:f>200*('Месяцы_рынки'!E76-'Месяцы_рынки'!E64)/('Месяцы_рынки'!E76+'Месяцы_рынки'!E64)</x:f>
        <x:v>-29.072033002501158</x:v>
      </x:c>
      <x:c r="E91" s="19" t="n">
        <x:f>200*('Месяцы_рынки'!F76-'Месяцы_рынки'!F64)/('Месяцы_рынки'!F76+'Месяцы_рынки'!F64)</x:f>
        <x:v>35.005231280842516</x:v>
      </x:c>
      <x:c r="F91" s="19" t="n">
        <x:f>200*('Месяцы_рынки'!G76-'Месяцы_рынки'!G64)/('Месяцы_рынки'!G76+'Месяцы_рынки'!G64)</x:f>
        <x:v>7.587293158115761</x:v>
      </x:c>
      <x:c r="G91" s="19" t="n">
        <x:f>200*('Месяцы_рынки'!H76-'Месяцы_рынки'!H64)/('Месяцы_рынки'!H76+'Месяцы_рынки'!H64)</x:f>
        <x:v>-30.042559565538433</x:v>
      </x:c>
      <x:c r="H91" s="19" t="n">
        <x:f>200*('Месяцы_рынки'!I76-'Месяцы_рынки'!I64)/('Месяцы_рынки'!I76+'Месяцы_рынки'!I64)</x:f>
        <x:v>-7.220842653804719</x:v>
      </x:c>
      <x:c r="I91" s="19" t="n">
        <x:f>200*('Месяцы_рынки'!J76-'Месяцы_рынки'!J64)/('Месяцы_рынки'!J76+'Месяцы_рынки'!J64)</x:f>
        <x:v>-5.255740876845084</x:v>
      </x:c>
      <x:c r="J91" s="19" t="n">
        <x:f>200*('Месяцы_рынки'!K76-'Месяцы_рынки'!K64)/('Месяцы_рынки'!K76+'Месяцы_рынки'!K64)</x:f>
        <x:v>22.829348384753818</x:v>
      </x:c>
    </x:row>
    <x:row r="92" ht="22" customHeight="1">
      <x:c r="A92" s="20" t="d">
        <x:v>2022-11-01T00:00:00.000Z</x:v>
      </x:c>
      <x:c r="B92" s="19" t="n">
        <x:f>200*('Месяцы_рынки'!C77-'Месяцы_рынки'!C65)/('Месяцы_рынки'!C77+'Месяцы_рынки'!C65)</x:f>
        <x:v>-20.302084533852835</x:v>
      </x:c>
      <x:c r="C92" s="19" t="n">
        <x:f>200*('Месяцы_рынки'!D77-'Месяцы_рынки'!D65)/('Месяцы_рынки'!D77+'Месяцы_рынки'!D65)</x:f>
        <x:v>6.137147699981733</x:v>
      </x:c>
      <x:c r="D92" s="19" t="n">
        <x:f>200*('Месяцы_рынки'!E77-'Месяцы_рынки'!E65)/('Месяцы_рынки'!E77+'Месяцы_рынки'!E65)</x:f>
        <x:v>-28.81866017909396</x:v>
      </x:c>
      <x:c r="E92" s="19" t="n">
        <x:f>200*('Месяцы_рынки'!F77-'Месяцы_рынки'!F65)/('Месяцы_рынки'!F77+'Месяцы_рынки'!F65)</x:f>
        <x:v>-48.83424781753474</x:v>
      </x:c>
      <x:c r="F92" s="19" t="n">
        <x:f>200*('Месяцы_рынки'!G77-'Месяцы_рынки'!G65)/('Месяцы_рынки'!G77+'Месяцы_рынки'!G65)</x:f>
        <x:v>7.658767244181345</x:v>
      </x:c>
      <x:c r="G92" s="19" t="n">
        <x:f>200*('Месяцы_рынки'!H77-'Месяцы_рынки'!H65)/('Месяцы_рынки'!H77+'Месяцы_рынки'!H65)</x:f>
        <x:v>-21.287249614126164</x:v>
      </x:c>
      <x:c r="H92" s="19" t="n">
        <x:f>200*('Месяцы_рынки'!I77-'Месяцы_рынки'!I65)/('Месяцы_рынки'!I77+'Месяцы_рынки'!I65)</x:f>
        <x:v>-13.041406719221843</x:v>
      </x:c>
      <x:c r="I92" s="19" t="n">
        <x:f>200*('Месяцы_рынки'!J77-'Месяцы_рынки'!J65)/('Месяцы_рынки'!J77+'Месяцы_рынки'!J65)</x:f>
        <x:v>-1.781322148438928</x:v>
      </x:c>
      <x:c r="J92" s="19" t="n">
        <x:f>200*('Месяцы_рынки'!K77-'Месяцы_рынки'!K65)/('Месяцы_рынки'!K77+'Месяцы_рынки'!K65)</x:f>
        <x:v>27.762083559265257</x:v>
      </x:c>
    </x:row>
    <x:row r="93" ht="22" customHeight="1">
      <x:c r="A93" s="20" t="d">
        <x:v>2022-12-01T00:00:00.000Z</x:v>
      </x:c>
      <x:c r="B93" s="19" t="n">
        <x:f>200*('Месяцы_рынки'!C78-'Месяцы_рынки'!C66)/('Месяцы_рынки'!C78+'Месяцы_рынки'!C66)</x:f>
        <x:v>-7.199876480160916</x:v>
      </x:c>
      <x:c r="C93" s="19" t="n">
        <x:f>200*('Месяцы_рынки'!D78-'Месяцы_рынки'!D66)/('Месяцы_рынки'!D78+'Месяцы_рынки'!D66)</x:f>
        <x:v>-20.970683584754525</x:v>
      </x:c>
      <x:c r="D93" s="19" t="n">
        <x:f>200*('Месяцы_рынки'!E78-'Месяцы_рынки'!E66)/('Месяцы_рынки'!E78+'Месяцы_рынки'!E66)</x:f>
        <x:v>-39.289911200304545</x:v>
      </x:c>
      <x:c r="E93" s="19" t="n">
        <x:f>200*('Месяцы_рынки'!F78-'Месяцы_рынки'!F66)/('Месяцы_рынки'!F78+'Месяцы_рынки'!F66)</x:f>
        <x:v>2.4533759267615864</x:v>
      </x:c>
      <x:c r="F93" s="19" t="n">
        <x:f>200*('Месяцы_рынки'!G78-'Месяцы_рынки'!G66)/('Месяцы_рынки'!G78+'Месяцы_рынки'!G66)</x:f>
        <x:v>-15.396265840292065</x:v>
      </x:c>
      <x:c r="G93" s="19" t="n">
        <x:f>200*('Месяцы_рынки'!H78-'Месяцы_рынки'!H66)/('Месяцы_рынки'!H78+'Месяцы_рынки'!H66)</x:f>
        <x:v>-40.515523305768646</x:v>
      </x:c>
      <x:c r="H93" s="19" t="n">
        <x:f>200*('Месяцы_рынки'!I78-'Месяцы_рынки'!I66)/('Месяцы_рынки'!I78+'Месяцы_рынки'!I66)</x:f>
        <x:v>-13.312076974226706</x:v>
      </x:c>
      <x:c r="I93" s="19" t="n">
        <x:f>200*('Месяцы_рынки'!J78-'Месяцы_рынки'!J66)/('Месяцы_рынки'!J78+'Месяцы_рынки'!J66)</x:f>
        <x:v>5.755555025338992</x:v>
      </x:c>
      <x:c r="J93" s="19" t="n">
        <x:f>200*('Месяцы_рынки'!K78-'Месяцы_рынки'!K66)/('Месяцы_рынки'!K78+'Месяцы_рынки'!K66)</x:f>
        <x:v>-5.61240107601548</x:v>
      </x:c>
    </x:row>
    <x:row r="94" ht="22" customHeight="1">
      <x:c r="A94" s="20" t="d">
        <x:v>2023-01-01T00:00:00.000Z</x:v>
      </x:c>
      <x:c r="B94" s="19" t="n">
        <x:f>200*('Месяцы_рынки'!C79-'Месяцы_рынки'!C67)/('Месяцы_рынки'!C79+'Месяцы_рынки'!C67)</x:f>
        <x:v>-5.029631242036617</x:v>
      </x:c>
      <x:c r="C94" s="19" t="n">
        <x:f>200*('Месяцы_рынки'!D79-'Месяцы_рынки'!D67)/('Месяцы_рынки'!D79+'Месяцы_рынки'!D67)</x:f>
        <x:v>-38.713703359135344</x:v>
      </x:c>
      <x:c r="D94" s="19" t="n">
        <x:f>200*('Месяцы_рынки'!E79-'Месяцы_рынки'!E67)/('Месяцы_рынки'!E79+'Месяцы_рынки'!E67)</x:f>
        <x:v>-42.87131965286895</x:v>
      </x:c>
      <x:c r="E94" s="19" t="n">
        <x:f>200*('Месяцы_рынки'!F79-'Месяцы_рынки'!F67)/('Месяцы_рынки'!F79+'Месяцы_рынки'!F67)</x:f>
        <x:v>42.20822919868647</x:v>
      </x:c>
      <x:c r="F94" s="19" t="n">
        <x:f>200*('Месяцы_рынки'!G79-'Месяцы_рынки'!G67)/('Месяцы_рынки'!G79+'Месяцы_рынки'!G67)</x:f>
        <x:v>-31.54351813017583</x:v>
      </x:c>
      <x:c r="G94" s="19" t="n">
        <x:f>200*('Месяцы_рынки'!H79-'Месяцы_рынки'!H67)/('Месяцы_рынки'!H79+'Месяцы_рынки'!H67)</x:f>
        <x:v>-11.673546853210452</x:v>
      </x:c>
      <x:c r="H94" s="19" t="n">
        <x:f>200*('Месяцы_рынки'!I79-'Месяцы_рынки'!I67)/('Месяцы_рынки'!I79+'Месяцы_рынки'!I67)</x:f>
        <x:v>-4.314081133999121</x:v>
      </x:c>
      <x:c r="I94" s="19" t="n">
        <x:f>200*('Месяцы_рынки'!J79-'Месяцы_рынки'!J67)/('Месяцы_рынки'!J79+'Месяцы_рынки'!J67)</x:f>
        <x:v>7.886830356847636</x:v>
      </x:c>
      <x:c r="J94" s="19" t="n">
        <x:f>200*('Месяцы_рынки'!K79-'Месяцы_рынки'!K67)/('Месяцы_рынки'!K79+'Месяцы_рынки'!K67)</x:f>
        <x:v>33.99844164116552</x:v>
      </x:c>
    </x:row>
    <x:row r="95" ht="22" customHeight="1">
      <x:c r="A95" s="20" t="d">
        <x:v>2023-02-01T00:00:00.000Z</x:v>
      </x:c>
      <x:c r="B95" s="19" t="n">
        <x:f>200*('Месяцы_рынки'!C80-'Месяцы_рынки'!C68)/('Месяцы_рынки'!C80+'Месяцы_рынки'!C68)</x:f>
        <x:v>-4.951814002392804</x:v>
      </x:c>
      <x:c r="C95" s="19" t="n">
        <x:f>200*('Месяцы_рынки'!D80-'Месяцы_рынки'!D68)/('Месяцы_рынки'!D80+'Месяцы_рынки'!D68)</x:f>
        <x:v>-29.566934991363087</x:v>
      </x:c>
      <x:c r="D95" s="19" t="n">
        <x:f>200*('Месяцы_рынки'!E80-'Месяцы_рынки'!E68)/('Месяцы_рынки'!E80+'Месяцы_рынки'!E68)</x:f>
        <x:v>-29.723705945997793</x:v>
      </x:c>
      <x:c r="E95" s="19" t="n">
        <x:f>200*('Месяцы_рынки'!F80-'Месяцы_рынки'!F68)/('Месяцы_рынки'!F80+'Месяцы_рынки'!F68)</x:f>
        <x:v>18.220013278306542</x:v>
      </x:c>
      <x:c r="F95" s="19" t="n">
        <x:f>200*('Месяцы_рынки'!G80-'Месяцы_рынки'!G68)/('Месяцы_рынки'!G80+'Месяцы_рынки'!G68)</x:f>
        <x:v>-26.159399445432708</x:v>
      </x:c>
      <x:c r="G95" s="19" t="n">
        <x:f>200*('Месяцы_рынки'!H80-'Месяцы_рынки'!H68)/('Месяцы_рынки'!H80+'Месяцы_рынки'!H68)</x:f>
        <x:v>-19.930060966227654</x:v>
      </x:c>
      <x:c r="H95" s="19" t="n">
        <x:f>200*('Месяцы_рынки'!I80-'Месяцы_рынки'!I68)/('Месяцы_рынки'!I80+'Месяцы_рынки'!I68)</x:f>
        <x:v>-34.806007926627764</x:v>
      </x:c>
      <x:c r="I95" s="19" t="n">
        <x:f>200*('Месяцы_рынки'!J80-'Месяцы_рынки'!J68)/('Месяцы_рынки'!J80+'Месяцы_рынки'!J68)</x:f>
        <x:v>6.294401828351214</x:v>
      </x:c>
      <x:c r="J95" s="19" t="n">
        <x:f>200*('Месяцы_рынки'!K80-'Месяцы_рынки'!K68)/('Месяцы_рынки'!K80+'Месяцы_рынки'!K68)</x:f>
        <x:v>20.946641626443956</x:v>
      </x:c>
    </x:row>
    <x:row r="96" ht="22" customHeight="1">
      <x:c r="A96" s="20" t="d">
        <x:v>2023-03-01T00:00:00.000Z</x:v>
      </x:c>
      <x:c r="B96" s="19" t="n">
        <x:f>200*('Месяцы_рынки'!C81-'Месяцы_рынки'!C69)/('Месяцы_рынки'!C81+'Месяцы_рынки'!C69)</x:f>
        <x:v>16.52463015778143</x:v>
      </x:c>
      <x:c r="C96" s="19" t="n">
        <x:f>200*('Месяцы_рынки'!D81-'Месяцы_рынки'!D69)/('Месяцы_рынки'!D81+'Месяцы_рынки'!D69)</x:f>
        <x:v>-12.50263015748209</x:v>
      </x:c>
      <x:c r="D96" s="19" t="n">
        <x:f>200*('Месяцы_рынки'!E81-'Месяцы_рынки'!E69)/('Месяцы_рынки'!E81+'Месяцы_рынки'!E69)</x:f>
        <x:v>-26.4060439575135</x:v>
      </x:c>
      <x:c r="E96" s="19" t="n">
        <x:f>200*('Месяцы_рынки'!F81-'Месяцы_рынки'!F69)/('Месяцы_рынки'!F81+'Месяцы_рынки'!F69)</x:f>
        <x:v>-10.754784639118212</x:v>
      </x:c>
      <x:c r="F96" s="19" t="n">
        <x:f>200*('Месяцы_рынки'!G81-'Месяцы_рынки'!G69)/('Месяцы_рынки'!G81+'Месяцы_рынки'!G69)</x:f>
        <x:v>-21.737087387543507</x:v>
      </x:c>
      <x:c r="G96" s="19" t="n">
        <x:f>200*('Месяцы_рынки'!H81-'Месяцы_рынки'!H69)/('Месяцы_рынки'!H81+'Месяцы_рынки'!H69)</x:f>
        <x:v>-35.07932690311934</x:v>
      </x:c>
      <x:c r="H96" s="19" t="n">
        <x:f>200*('Месяцы_рынки'!I81-'Месяцы_рынки'!I69)/('Месяцы_рынки'!I81+'Месяцы_рынки'!I69)</x:f>
        <x:v>-7.366016331995499</x:v>
      </x:c>
      <x:c r="I96" s="19" t="n">
        <x:f>200*('Месяцы_рынки'!J81-'Месяцы_рынки'!J69)/('Месяцы_рынки'!J81+'Месяцы_рынки'!J69)</x:f>
        <x:v>-3.743060269402943</x:v>
      </x:c>
      <x:c r="J96" s="19" t="n">
        <x:f>200*('Месяцы_рынки'!K81-'Месяцы_рынки'!K69)/('Месяцы_рынки'!K81+'Месяцы_рынки'!K69)</x:f>
        <x:v>20.346820293604363</x:v>
      </x:c>
    </x:row>
    <x:row r="97" ht="22" customHeight="1">
      <x:c r="A97" s="20" t="d">
        <x:v>2023-04-01T00:00:00.000Z</x:v>
      </x:c>
      <x:c r="B97" s="19" t="n">
        <x:f>200*('Месяцы_рынки'!C82-'Месяцы_рынки'!C70)/('Месяцы_рынки'!C82+'Месяцы_рынки'!C70)</x:f>
        <x:v>6.305765778868302</x:v>
      </x:c>
      <x:c r="C97" s="19" t="n">
        <x:f>200*('Месяцы_рынки'!D82-'Месяцы_рынки'!D70)/('Месяцы_рынки'!D82+'Месяцы_рынки'!D70)</x:f>
        <x:v>16.40298051988616</x:v>
      </x:c>
      <x:c r="D97" s="19" t="n">
        <x:f>200*('Месяцы_рынки'!E82-'Месяцы_рынки'!E70)/('Месяцы_рынки'!E82+'Месяцы_рынки'!E70)</x:f>
        <x:v>-42.8996709859721</x:v>
      </x:c>
      <x:c r="E97" s="19" t="n">
        <x:f>200*('Месяцы_рынки'!F82-'Месяцы_рынки'!F70)/('Месяцы_рынки'!F82+'Месяцы_рынки'!F70)</x:f>
        <x:v>40.157541573971365</x:v>
      </x:c>
      <x:c r="F97" s="19" t="n">
        <x:f>200*('Месяцы_рынки'!G82-'Месяцы_рынки'!G70)/('Месяцы_рынки'!G82+'Месяцы_рынки'!G70)</x:f>
        <x:v>43.13469708711047</x:v>
      </x:c>
      <x:c r="G97" s="19" t="n">
        <x:f>200*('Месяцы_рынки'!H82-'Месяцы_рынки'!H70)/('Месяцы_рынки'!H82+'Месяцы_рынки'!H70)</x:f>
        <x:v>-6.310089548145104</x:v>
      </x:c>
      <x:c r="H97" s="19" t="n">
        <x:f>200*('Месяцы_рынки'!I82-'Месяцы_рынки'!I70)/('Месяцы_рынки'!I82+'Месяцы_рынки'!I70)</x:f>
        <x:v>23.31735002542571</x:v>
      </x:c>
      <x:c r="I97" s="19" t="n">
        <x:f>200*('Месяцы_рынки'!J82-'Месяцы_рынки'!J70)/('Месяцы_рынки'!J82+'Месяцы_рынки'!J70)</x:f>
        <x:v>12.379539430481609</x:v>
      </x:c>
      <x:c r="J97" s="19" t="n">
        <x:f>200*('Месяцы_рынки'!K82-'Месяцы_рынки'!K70)/('Месяцы_рынки'!K82+'Месяцы_рынки'!K70)</x:f>
        <x:v>-24.294322853476793</x:v>
      </x:c>
    </x:row>
    <x:row r="98" ht="22" customHeight="1">
      <x:c r="A98" s="20" t="d">
        <x:v>2023-05-01T00:00:00.000Z</x:v>
      </x:c>
      <x:c r="B98" s="19" t="n">
        <x:f>200*('Месяцы_рынки'!C83-'Месяцы_рынки'!C71)/('Месяцы_рынки'!C83+'Месяцы_рынки'!C71)</x:f>
        <x:v>18.697931774228994</x:v>
      </x:c>
      <x:c r="C98" s="19" t="n">
        <x:f>200*('Месяцы_рынки'!D83-'Месяцы_рынки'!D71)/('Месяцы_рынки'!D83+'Месяцы_рынки'!D71)</x:f>
        <x:v>-0.8415760068438718</x:v>
      </x:c>
      <x:c r="D98" s="19" t="n">
        <x:f>200*('Месяцы_рынки'!E83-'Месяцы_рынки'!E71)/('Месяцы_рынки'!E83+'Месяцы_рынки'!E71)</x:f>
        <x:v>-79.63880117446408</x:v>
      </x:c>
      <x:c r="E98" s="19" t="n">
        <x:f>200*('Месяцы_рынки'!F83-'Месяцы_рынки'!F71)/('Месяцы_рынки'!F83+'Месяцы_рынки'!F71)</x:f>
        <x:v>-11.631379182953019</x:v>
      </x:c>
      <x:c r="F98" s="19" t="n">
        <x:f>200*('Месяцы_рынки'!G83-'Месяцы_рынки'!G71)/('Месяцы_рынки'!G83+'Месяцы_рынки'!G71)</x:f>
        <x:v>27.734124162377025</x:v>
      </x:c>
      <x:c r="G98" s="19" t="n">
        <x:f>200*('Месяцы_рынки'!H83-'Месяцы_рынки'!H71)/('Месяцы_рынки'!H83+'Месяцы_рынки'!H71)</x:f>
        <x:v>-29.272304984639753</x:v>
      </x:c>
      <x:c r="H98" s="19" t="n">
        <x:f>200*('Месяцы_рынки'!I83-'Месяцы_рынки'!I71)/('Месяцы_рынки'!I83+'Месяцы_рынки'!I71)</x:f>
        <x:v>-9.145035869891807</x:v>
      </x:c>
      <x:c r="I98" s="19" t="n">
        <x:f>200*('Месяцы_рынки'!J83-'Месяцы_рынки'!J71)/('Месяцы_рынки'!J83+'Месяцы_рынки'!J71)</x:f>
        <x:v>-3.202121171170551</x:v>
      </x:c>
      <x:c r="J98" s="19" t="n">
        <x:f>200*('Месяцы_рынки'!K83-'Месяцы_рынки'!K71)/('Месяцы_рынки'!K83+'Месяцы_рынки'!K71)</x:f>
        <x:v>0.013719812269631789</x:v>
      </x:c>
    </x:row>
    <x:row r="99" ht="22" customHeight="1">
      <x:c r="A99" s="20" t="d">
        <x:v>2023-06-01T00:00:00.000Z</x:v>
      </x:c>
      <x:c r="B99" s="19" t="n">
        <x:f>200*('Месяцы_рынки'!C84-'Месяцы_рынки'!C72)/('Месяцы_рынки'!C84+'Месяцы_рынки'!C72)</x:f>
        <x:v>-16.879359144681384</x:v>
      </x:c>
      <x:c r="C99" s="19" t="n">
        <x:f>200*('Месяцы_рынки'!D84-'Месяцы_рынки'!D72)/('Месяцы_рынки'!D84+'Месяцы_рынки'!D72)</x:f>
        <x:v>21.5837897858346</x:v>
      </x:c>
      <x:c r="D99" s="19" t="n">
        <x:f>200*('Месяцы_рынки'!E84-'Месяцы_рынки'!E72)/('Месяцы_рынки'!E84+'Месяцы_рынки'!E72)</x:f>
        <x:v>-58.55398095128437</x:v>
      </x:c>
      <x:c r="E99" s="19" t="n">
        <x:f>200*('Месяцы_рынки'!F84-'Месяцы_рынки'!F72)/('Месяцы_рынки'!F84+'Месяцы_рынки'!F72)</x:f>
        <x:v>-5.5669114462116935</x:v>
      </x:c>
      <x:c r="F99" s="19" t="n">
        <x:f>200*('Месяцы_рынки'!G84-'Месяцы_рынки'!G72)/('Месяцы_рынки'!G84+'Месяцы_рынки'!G72)</x:f>
        <x:v>48.076193066396016</x:v>
      </x:c>
      <x:c r="G99" s="19" t="n">
        <x:f>200*('Месяцы_рынки'!H84-'Месяцы_рынки'!H72)/('Месяцы_рынки'!H84+'Месяцы_рынки'!H72)</x:f>
        <x:v>-36.97276547202515</x:v>
      </x:c>
      <x:c r="H99" s="19" t="n">
        <x:f>200*('Месяцы_рынки'!I84-'Месяцы_рынки'!I72)/('Месяцы_рынки'!I84+'Месяцы_рынки'!I72)</x:f>
        <x:v>11.36713968029859</x:v>
      </x:c>
      <x:c r="I99" s="19" t="n">
        <x:f>200*('Месяцы_рынки'!J84-'Месяцы_рынки'!J72)/('Месяцы_рынки'!J84+'Месяцы_рынки'!J72)</x:f>
        <x:v>-0.5449351735826417</x:v>
      </x:c>
      <x:c r="J99" s="19" t="n">
        <x:f>200*('Месяцы_рынки'!K84-'Месяцы_рынки'!K72)/('Месяцы_рынки'!K84+'Месяцы_рынки'!K72)</x:f>
        <x:v>10.040487514889705</x:v>
      </x:c>
    </x:row>
    <x:row r="100" ht="22" customHeight="1">
      <x:c r="A100" s="20" t="d">
        <x:v>2023-07-01T00:00:00.000Z</x:v>
      </x:c>
      <x:c r="B100" s="19" t="n">
        <x:f>200*('Месяцы_рынки'!C85-'Месяцы_рынки'!C73)/('Месяцы_рынки'!C85+'Месяцы_рынки'!C73)</x:f>
        <x:v>-24.423284028172578</x:v>
      </x:c>
      <x:c r="C100" s="19" t="n">
        <x:f>200*('Месяцы_рынки'!D85-'Месяцы_рынки'!D73)/('Месяцы_рынки'!D85+'Месяцы_рынки'!D73)</x:f>
        <x:v>1.5307032398483296</x:v>
      </x:c>
      <x:c r="D100" s="19" t="n">
        <x:f>200*('Месяцы_рынки'!E85-'Месяцы_рынки'!E73)/('Месяцы_рынки'!E85+'Месяцы_рынки'!E73)</x:f>
        <x:v>-38.572561706598286</x:v>
      </x:c>
      <x:c r="E100" s="19" t="n">
        <x:f>200*('Месяцы_рынки'!F85-'Месяцы_рынки'!F73)/('Месяцы_рынки'!F85+'Месяцы_рынки'!F73)</x:f>
        <x:v>-16.491113232558302</x:v>
      </x:c>
      <x:c r="F100" s="19" t="n">
        <x:f>200*('Месяцы_рынки'!G85-'Месяцы_рынки'!G73)/('Месяцы_рынки'!G85+'Месяцы_рынки'!G73)</x:f>
        <x:v>41.74613209031033</x:v>
      </x:c>
      <x:c r="G100" s="19" t="n">
        <x:f>200*('Месяцы_рынки'!H85-'Месяцы_рынки'!H73)/('Месяцы_рынки'!H85+'Месяцы_рынки'!H73)</x:f>
        <x:v>-12.923097793766939</x:v>
      </x:c>
      <x:c r="H100" s="19" t="n">
        <x:f>200*('Месяцы_рынки'!I85-'Месяцы_рынки'!I73)/('Месяцы_рынки'!I85+'Месяцы_рынки'!I73)</x:f>
        <x:v>4.249186532631937</x:v>
      </x:c>
      <x:c r="I100" s="19" t="n">
        <x:f>200*('Месяцы_рынки'!J85-'Месяцы_рынки'!J73)/('Месяцы_рынки'!J85+'Месяцы_рынки'!J73)</x:f>
        <x:v>3.158596292895211</x:v>
      </x:c>
      <x:c r="J100" s="19" t="n">
        <x:f>200*('Месяцы_рынки'!K85-'Месяцы_рынки'!K73)/('Месяцы_рынки'!K85+'Месяцы_рынки'!K73)</x:f>
        <x:v>-16.81375285157685</x:v>
      </x:c>
    </x:row>
    <x:row r="101" ht="22" customHeight="1">
      <x:c r="A101" s="20" t="d">
        <x:v>2023-08-01T00:00:00.000Z</x:v>
      </x:c>
      <x:c r="B101" s="19" t="n">
        <x:f>200*('Месяцы_рынки'!C86-'Месяцы_рынки'!C74)/('Месяцы_рынки'!C86+'Месяцы_рынки'!C74)</x:f>
        <x:v>26.2330524777839</x:v>
      </x:c>
      <x:c r="C101" s="19" t="n">
        <x:f>200*('Месяцы_рынки'!D86-'Месяцы_рынки'!D74)/('Месяцы_рынки'!D86+'Месяцы_рынки'!D74)</x:f>
        <x:v>8.459265520769852</x:v>
      </x:c>
      <x:c r="D101" s="19" t="n">
        <x:f>200*('Месяцы_рынки'!E86-'Месяцы_рынки'!E74)/('Месяцы_рынки'!E86+'Месяцы_рынки'!E74)</x:f>
        <x:v>-11.417423880482607</x:v>
      </x:c>
      <x:c r="E101" s="19" t="n">
        <x:f>200*('Месяцы_рынки'!F86-'Месяцы_рынки'!F74)/('Месяцы_рынки'!F86+'Месяцы_рынки'!F74)</x:f>
        <x:v>31.454356951422607</x:v>
      </x:c>
      <x:c r="F101" s="19" t="n">
        <x:f>200*('Месяцы_рынки'!G86-'Месяцы_рынки'!G74)/('Месяцы_рынки'!G86+'Месяцы_рынки'!G74)</x:f>
        <x:v>-46.565119866100886</x:v>
      </x:c>
      <x:c r="G101" s="19" t="n">
        <x:f>200*('Месяцы_рынки'!H86-'Месяцы_рынки'!H74)/('Месяцы_рынки'!H86+'Месяцы_рынки'!H74)</x:f>
        <x:v>11.774164767923596</x:v>
      </x:c>
      <x:c r="H101" s="19" t="n">
        <x:f>200*('Месяцы_рынки'!I86-'Месяцы_рынки'!I74)/('Месяцы_рынки'!I86+'Месяцы_рынки'!I74)</x:f>
        <x:v>2.0654133687418454</x:v>
      </x:c>
      <x:c r="I101" s="19" t="n">
        <x:f>200*('Месяцы_рынки'!J86-'Месяцы_рынки'!J74)/('Месяцы_рынки'!J86+'Месяцы_рынки'!J74)</x:f>
        <x:v>12.188931584598985</x:v>
      </x:c>
      <x:c r="J101" s="19" t="n">
        <x:f>200*('Месяцы_рынки'!K86-'Месяцы_рынки'!K74)/('Месяцы_рынки'!K86+'Месяцы_рынки'!K74)</x:f>
        <x:v>-1.8868870421514237</x:v>
      </x:c>
    </x:row>
    <x:row r="102" ht="22" customHeight="1">
      <x:c r="A102" s="20" t="d">
        <x:v>2023-09-01T00:00:00.000Z</x:v>
      </x:c>
      <x:c r="B102" s="19" t="n">
        <x:f>200*('Месяцы_рынки'!C87-'Месяцы_рынки'!C75)/('Месяцы_рынки'!C87+'Месяцы_рынки'!C75)</x:f>
        <x:v>-34.50570865853897</x:v>
      </x:c>
      <x:c r="C102" s="19" t="n">
        <x:f>200*('Месяцы_рынки'!D87-'Месяцы_рынки'!D75)/('Месяцы_рынки'!D87+'Месяцы_рынки'!D75)</x:f>
        <x:v>-4.158750252700127</x:v>
      </x:c>
      <x:c r="D102" s="19" t="n">
        <x:f>200*('Месяцы_рынки'!E87-'Месяцы_рынки'!E75)/('Месяцы_рынки'!E87+'Месяцы_рынки'!E75)</x:f>
        <x:v>-4.0722582898164355</x:v>
      </x:c>
      <x:c r="E102" s="19" t="n">
        <x:f>200*('Месяцы_рынки'!F87-'Месяцы_рынки'!F75)/('Месяцы_рынки'!F87+'Месяцы_рынки'!F75)</x:f>
        <x:v>-0.43421615687106174</x:v>
      </x:c>
      <x:c r="F102" s="19" t="n">
        <x:f>200*('Месяцы_рынки'!G87-'Месяцы_рынки'!G75)/('Месяцы_рынки'!G87+'Месяцы_рынки'!G75)</x:f>
        <x:v>-13.483532557776984</x:v>
      </x:c>
      <x:c r="G102" s="19" t="n">
        <x:f>200*('Месяцы_рынки'!H87-'Месяцы_рынки'!H75)/('Месяцы_рынки'!H87+'Месяцы_рынки'!H75)</x:f>
        <x:v>4.466620274245306</x:v>
      </x:c>
      <x:c r="H102" s="19" t="n">
        <x:f>200*('Месяцы_рынки'!I87-'Месяцы_рынки'!I75)/('Месяцы_рынки'!I87+'Месяцы_рынки'!I75)</x:f>
        <x:v>-32.73581602768823</x:v>
      </x:c>
      <x:c r="I102" s="19" t="n">
        <x:f>200*('Месяцы_рынки'!J87-'Месяцы_рынки'!J75)/('Месяцы_рынки'!J87+'Месяцы_рынки'!J75)</x:f>
        <x:v>8.406891224058993</x:v>
      </x:c>
      <x:c r="J102" s="19" t="n">
        <x:f>200*('Месяцы_рынки'!K87-'Месяцы_рынки'!K75)/('Месяцы_рынки'!K87+'Месяцы_рынки'!K75)</x:f>
        <x:v>-14.367209254463653</x:v>
      </x:c>
    </x:row>
    <x:row r="103" ht="22" customHeight="1">
      <x:c r="A103" s="20" t="d">
        <x:v>2023-10-01T00:00:00.000Z</x:v>
      </x:c>
      <x:c r="B103" s="19" t="n">
        <x:f>200*('Месяцы_рынки'!C88-'Месяцы_рынки'!C76)/('Месяцы_рынки'!C88+'Месяцы_рынки'!C76)</x:f>
        <x:v>-33.92890057627118</x:v>
      </x:c>
      <x:c r="C103" s="19" t="n">
        <x:f>200*('Месяцы_рынки'!D88-'Месяцы_рынки'!D76)/('Месяцы_рынки'!D88+'Месяцы_рынки'!D76)</x:f>
        <x:v>11.3380212462092</x:v>
      </x:c>
      <x:c r="D103" s="19" t="n">
        <x:f>200*('Месяцы_рынки'!E88-'Месяцы_рынки'!E76)/('Месяцы_рынки'!E88+'Месяцы_рынки'!E76)</x:f>
        <x:v>7.326265842870637</x:v>
      </x:c>
      <x:c r="E103" s="19" t="n">
        <x:f>200*('Месяцы_рынки'!F88-'Месяцы_рынки'!F76)/('Месяцы_рынки'!F88+'Месяцы_рынки'!F76)</x:f>
        <x:v>41.42862311723909</x:v>
      </x:c>
      <x:c r="F103" s="19" t="n">
        <x:f>200*('Месяцы_рынки'!G88-'Месяцы_рынки'!G76)/('Месяцы_рынки'!G88+'Месяцы_рынки'!G76)</x:f>
        <x:v>-14.129855744047285</x:v>
      </x:c>
      <x:c r="G103" s="19" t="n">
        <x:f>200*('Месяцы_рынки'!H88-'Месяцы_рынки'!H76)/('Месяцы_рынки'!H88+'Месяцы_рынки'!H76)</x:f>
        <x:v>17.048392340322447</x:v>
      </x:c>
      <x:c r="H103" s="19" t="n">
        <x:f>200*('Месяцы_рынки'!I88-'Месяцы_рынки'!I76)/('Месяцы_рынки'!I88+'Месяцы_рынки'!I76)</x:f>
        <x:v>10.091882516736618</x:v>
      </x:c>
      <x:c r="I103" s="19" t="n">
        <x:f>200*('Месяцы_рынки'!J88-'Месяцы_рынки'!J76)/('Месяцы_рынки'!J88+'Месяцы_рынки'!J76)</x:f>
        <x:v>6.866330777786129</x:v>
      </x:c>
      <x:c r="J103" s="19" t="n">
        <x:f>200*('Месяцы_рынки'!K88-'Месяцы_рынки'!K76)/('Месяцы_рынки'!K88+'Месяцы_рынки'!K76)</x:f>
        <x:v>-6.381104490881233</x:v>
      </x:c>
    </x:row>
    <x:row r="104" ht="22" customHeight="1">
      <x:c r="A104" s="20" t="d">
        <x:v>2023-11-01T00:00:00.000Z</x:v>
      </x:c>
      <x:c r="B104" s="19" t="n">
        <x:f>200*('Месяцы_рынки'!C89-'Месяцы_рынки'!C77)/('Месяцы_рынки'!C89+'Месяцы_рынки'!C77)</x:f>
        <x:v>-29.312547979745805</x:v>
      </x:c>
      <x:c r="C104" s="19" t="n">
        <x:f>200*('Месяцы_рынки'!D89-'Месяцы_рынки'!D77)/('Месяцы_рынки'!D89+'Месяцы_рынки'!D77)</x:f>
        <x:v>19.9217794833378</x:v>
      </x:c>
      <x:c r="D104" s="19" t="n">
        <x:f>200*('Месяцы_рынки'!E89-'Месяцы_рынки'!E77)/('Месяцы_рынки'!E89+'Месяцы_рынки'!E77)</x:f>
        <x:v>17.147056984897503</x:v>
      </x:c>
      <x:c r="E104" s="19" t="n">
        <x:f>200*('Месяцы_рынки'!F89-'Месяцы_рынки'!F77)/('Месяцы_рынки'!F89+'Месяцы_рынки'!F77)</x:f>
        <x:v>76.59842405477698</x:v>
      </x:c>
      <x:c r="F104" s="19" t="n">
        <x:f>200*('Месяцы_рынки'!G89-'Месяцы_рынки'!G77)/('Месяцы_рынки'!G89+'Месяцы_рынки'!G77)</x:f>
        <x:v>-5.777302037001806</x:v>
      </x:c>
      <x:c r="G104" s="19" t="n">
        <x:f>200*('Месяцы_рынки'!H89-'Месяцы_рынки'!H77)/('Месяцы_рынки'!H89+'Месяцы_рынки'!H77)</x:f>
        <x:v>-5.521262742320064</x:v>
      </x:c>
      <x:c r="H104" s="19" t="n">
        <x:f>200*('Месяцы_рынки'!I89-'Месяцы_рынки'!I77)/('Месяцы_рынки'!I89+'Месяцы_рынки'!I77)</x:f>
        <x:v>5.570215073709897</x:v>
      </x:c>
      <x:c r="I104" s="19" t="n">
        <x:f>200*('Месяцы_рынки'!J89-'Месяцы_рынки'!J77)/('Месяцы_рынки'!J89+'Месяцы_рынки'!J77)</x:f>
        <x:v>25.72284013072407</x:v>
      </x:c>
      <x:c r="J104" s="19" t="n">
        <x:f>200*('Месяцы_рынки'!K89-'Месяцы_рынки'!K77)/('Месяцы_рынки'!K89+'Месяцы_рынки'!K77)</x:f>
        <x:v>-10.903709786116538</x:v>
      </x:c>
    </x:row>
    <x:row r="105" ht="22" customHeight="1">
      <x:c r="A105" s="20" t="d">
        <x:v>2023-12-01T00:00:00.000Z</x:v>
      </x:c>
      <x:c r="B105" s="19" t="n">
        <x:f>200*('Месяцы_рынки'!C90-'Месяцы_рынки'!C78)/('Месяцы_рынки'!C90+'Месяцы_рынки'!C78)</x:f>
        <x:v>-40.61678328787075</x:v>
      </x:c>
      <x:c r="C105" s="19" t="n">
        <x:f>200*('Месяцы_рынки'!D90-'Месяцы_рынки'!D78)/('Месяцы_рынки'!D90+'Месяцы_рынки'!D78)</x:f>
        <x:v>36.829765109956995</x:v>
      </x:c>
      <x:c r="D105" s="19" t="n">
        <x:f>200*('Месяцы_рынки'!E90-'Месяцы_рынки'!E78)/('Месяцы_рынки'!E90+'Месяцы_рынки'!E78)</x:f>
        <x:v>9.145173212352427</x:v>
      </x:c>
      <x:c r="E105" s="19" t="n">
        <x:f>200*('Месяцы_рынки'!F90-'Месяцы_рынки'!F78)/('Месяцы_рынки'!F90+'Месяцы_рынки'!F78)</x:f>
        <x:v>18.680699019844607</x:v>
      </x:c>
      <x:c r="F105" s="19" t="n">
        <x:f>200*('Месяцы_рынки'!G90-'Месяцы_рынки'!G78)/('Месяцы_рынки'!G90+'Месяцы_рынки'!G78)</x:f>
        <x:v>7.799389217866664</x:v>
      </x:c>
      <x:c r="G105" s="19" t="n">
        <x:f>200*('Месяцы_рынки'!H90-'Месяцы_рынки'!H78)/('Месяцы_рынки'!H90+'Месяцы_рынки'!H78)</x:f>
        <x:v>-4.217825808428993</x:v>
      </x:c>
      <x:c r="H105" s="19" t="n">
        <x:f>200*('Месяцы_рынки'!I90-'Месяцы_рынки'!I78)/('Месяцы_рынки'!I90+'Месяцы_рынки'!I78)</x:f>
        <x:v>12.84203021890833</x:v>
      </x:c>
      <x:c r="I105" s="19" t="n">
        <x:f>200*('Месяцы_рынки'!J90-'Месяцы_рынки'!J78)/('Месяцы_рынки'!J90+'Месяцы_рынки'!J78)</x:f>
        <x:v>-2.3184730377718665</x:v>
      </x:c>
      <x:c r="J105" s="19" t="n">
        <x:f>200*('Месяцы_рынки'!K90-'Месяцы_рынки'!K78)/('Месяцы_рынки'!K90+'Месяцы_рынки'!K78)</x:f>
        <x:v>-4.059560121312201</x:v>
      </x:c>
    </x:row>
    <x:row r="106" ht="22" customHeight="1">
      <x:c r="A106" s="20" t="d">
        <x:v>2024-01-01T00:00:00.000Z</x:v>
      </x:c>
      <x:c r="B106" s="19" t="n">
        <x:f>200*('Месяцы_рынки'!C91-'Месяцы_рынки'!C79)/('Месяцы_рынки'!C91+'Месяцы_рынки'!C79)</x:f>
        <x:v>-30.463006478868227</x:v>
      </x:c>
      <x:c r="C106" s="19" t="n">
        <x:f>200*('Месяцы_рынки'!D91-'Месяцы_рынки'!D79)/('Месяцы_рынки'!D91+'Месяцы_рынки'!D79)</x:f>
        <x:v>50.615474306937045</x:v>
      </x:c>
      <x:c r="D106" s="19" t="n">
        <x:f>200*('Месяцы_рынки'!E91-'Месяцы_рынки'!E79)/('Месяцы_рынки'!E91+'Месяцы_рынки'!E79)</x:f>
        <x:v>18.076342276057183</x:v>
      </x:c>
      <x:c r="E106" s="19" t="n">
        <x:f>200*('Месяцы_рынки'!F91-'Месяцы_рынки'!F79)/('Месяцы_рынки'!F91+'Месяцы_рынки'!F79)</x:f>
        <x:v>34.3455698828268</x:v>
      </x:c>
      <x:c r="F106" s="19" t="n">
        <x:f>200*('Месяцы_рынки'!G91-'Месяцы_рынки'!G79)/('Месяцы_рынки'!G91+'Месяцы_рынки'!G79)</x:f>
        <x:v>6.804412241982844</x:v>
      </x:c>
      <x:c r="G106" s="19" t="n">
        <x:f>200*('Месяцы_рынки'!H91-'Месяцы_рынки'!H79)/('Месяцы_рынки'!H91+'Месяцы_рынки'!H79)</x:f>
        <x:v>-20.119944064948633</x:v>
      </x:c>
      <x:c r="H106" s="19" t="n">
        <x:f>200*('Месяцы_рынки'!I91-'Месяцы_рынки'!I79)/('Месяцы_рынки'!I91+'Месяцы_рынки'!I79)</x:f>
        <x:v>-4.705770926705623</x:v>
      </x:c>
      <x:c r="I106" s="19" t="n">
        <x:f>200*('Месяцы_рынки'!J91-'Месяцы_рынки'!J79)/('Месяцы_рынки'!J91+'Месяцы_рынки'!J79)</x:f>
        <x:v>-0.1124967867668917</x:v>
      </x:c>
      <x:c r="J106" s="19" t="n">
        <x:f>200*('Месяцы_рынки'!K91-'Месяцы_рынки'!K79)/('Месяцы_рынки'!K91+'Месяцы_рынки'!K79)</x:f>
        <x:v>-28.28771837578584</x:v>
      </x:c>
    </x:row>
    <x:row r="107" ht="22" customHeight="1">
      <x:c r="A107" s="20" t="d">
        <x:v>2024-02-01T00:00:00.000Z</x:v>
      </x:c>
      <x:c r="B107" s="19" t="n">
        <x:f>200*('Месяцы_рынки'!C92-'Месяцы_рынки'!C80)/('Месяцы_рынки'!C92+'Месяцы_рынки'!C80)</x:f>
        <x:v>-19.170407455103728</x:v>
      </x:c>
      <x:c r="C107" s="19" t="n">
        <x:f>200*('Месяцы_рынки'!D92-'Месяцы_рынки'!D80)/('Месяцы_рынки'!D92+'Месяцы_рынки'!D80)</x:f>
        <x:v>19.00631050131494</x:v>
      </x:c>
      <x:c r="D107" s="19" t="n">
        <x:f>200*('Месяцы_рынки'!E92-'Месяцы_рынки'!E80)/('Месяцы_рынки'!E92+'Месяцы_рынки'!E80)</x:f>
        <x:v>0.04872965843901752</x:v>
      </x:c>
      <x:c r="E107" s="19" t="n">
        <x:f>200*('Месяцы_рынки'!F92-'Месяцы_рынки'!F80)/('Месяцы_рынки'!F92+'Месяцы_рынки'!F80)</x:f>
        <x:v>42.34324622812138</x:v>
      </x:c>
      <x:c r="F107" s="19" t="n">
        <x:f>200*('Месяцы_рынки'!G92-'Месяцы_рынки'!G80)/('Месяцы_рынки'!G92+'Месяцы_рынки'!G80)</x:f>
        <x:v>8.381200506854372</x:v>
      </x:c>
      <x:c r="G107" s="19" t="n">
        <x:f>200*('Месяцы_рынки'!H92-'Месяцы_рынки'!H80)/('Месяцы_рынки'!H92+'Месяцы_рынки'!H80)</x:f>
        <x:v>-23.49670179437391</x:v>
      </x:c>
      <x:c r="H107" s="19" t="n">
        <x:f>200*('Месяцы_рынки'!I92-'Месяцы_рынки'!I80)/('Месяцы_рынки'!I92+'Месяцы_рынки'!I80)</x:f>
        <x:v>11.182787070939275</x:v>
      </x:c>
      <x:c r="I107" s="19" t="n">
        <x:f>200*('Месяцы_рынки'!J92-'Месяцы_рынки'!J80)/('Месяцы_рынки'!J92+'Месяцы_рынки'!J80)</x:f>
        <x:v>-9.446602452796224</x:v>
      </x:c>
      <x:c r="J107" s="19" t="n">
        <x:f>200*('Месяцы_рынки'!K92-'Месяцы_рынки'!K80)/('Месяцы_рынки'!K92+'Месяцы_рынки'!K80)</x:f>
        <x:v>-10.549040864689458</x:v>
      </x:c>
    </x:row>
    <x:row r="108" ht="22" customHeight="1">
      <x:c r="A108" s="20" t="d">
        <x:v>2024-03-01T00:00:00.000Z</x:v>
      </x:c>
      <x:c r="B108" s="19" t="n">
        <x:f>200*('Месяцы_рынки'!C93-'Месяцы_рынки'!C81)/('Месяцы_рынки'!C93+'Месяцы_рынки'!C81)</x:f>
        <x:v>-17.992102766109003</x:v>
      </x:c>
      <x:c r="C108" s="19" t="n">
        <x:f>200*('Месяцы_рынки'!D93-'Месяцы_рынки'!D81)/('Месяцы_рынки'!D93+'Месяцы_рынки'!D81)</x:f>
        <x:v>18.80133916575147</x:v>
      </x:c>
      <x:c r="D108" s="19" t="n">
        <x:f>200*('Месяцы_рынки'!E93-'Месяцы_рынки'!E81)/('Месяцы_рынки'!E93+'Месяцы_рынки'!E81)</x:f>
        <x:v>16.66322254958805</x:v>
      </x:c>
      <x:c r="E108" s="19" t="n">
        <x:f>200*('Месяцы_рынки'!F93-'Месяцы_рынки'!F81)/('Месяцы_рынки'!F93+'Месяцы_рынки'!F81)</x:f>
        <x:v>64.99132413858196</x:v>
      </x:c>
      <x:c r="F108" s="19" t="n">
        <x:f>200*('Месяцы_рынки'!G93-'Месяцы_рынки'!G81)/('Месяцы_рынки'!G93+'Месяцы_рынки'!G81)</x:f>
        <x:v>21.948587530765433</x:v>
      </x:c>
      <x:c r="G108" s="19" t="n">
        <x:f>200*('Месяцы_рынки'!H93-'Месяцы_рынки'!H81)/('Месяцы_рынки'!H93+'Месяцы_рынки'!H81)</x:f>
        <x:v>0.9723157561707735</x:v>
      </x:c>
      <x:c r="H108" s="19" t="n">
        <x:f>200*('Месяцы_рынки'!I93-'Месяцы_рынки'!I81)/('Месяцы_рынки'!I93+'Месяцы_рынки'!I81)</x:f>
        <x:v>-1.7747245764258652</x:v>
      </x:c>
      <x:c r="I108" s="19" t="n">
        <x:f>200*('Месяцы_рынки'!J93-'Месяцы_рынки'!J81)/('Месяцы_рынки'!J93+'Месяцы_рынки'!J81)</x:f>
        <x:v>-16.217279854995176</x:v>
      </x:c>
      <x:c r="J108" s="19" t="n">
        <x:f>200*('Месяцы_рынки'!K93-'Месяцы_рынки'!K81)/('Месяцы_рынки'!K93+'Месяцы_рынки'!K81)</x:f>
        <x:v>-18.82769602661282</x:v>
      </x:c>
    </x:row>
    <x:row r="109" ht="22" customHeight="1">
      <x:c r="A109" s="20" t="d">
        <x:v>2024-04-01T00:00:00.000Z</x:v>
      </x:c>
      <x:c r="B109" s="19" t="n">
        <x:f>200*('Месяцы_рынки'!C94-'Месяцы_рынки'!C82)/('Месяцы_рынки'!C94+'Месяцы_рынки'!C82)</x:f>
        <x:v>5.8506320457054155</x:v>
      </x:c>
      <x:c r="C109" s="19" t="n">
        <x:f>200*('Месяцы_рынки'!D94-'Месяцы_рынки'!D82)/('Месяцы_рынки'!D94+'Месяцы_рынки'!D82)</x:f>
        <x:v>24.949761420065695</x:v>
      </x:c>
      <x:c r="D109" s="19" t="n">
        <x:f>200*('Месяцы_рынки'!E94-'Месяцы_рынки'!E82)/('Месяцы_рынки'!E94+'Месяцы_рынки'!E82)</x:f>
        <x:v>26.61956563611837</x:v>
      </x:c>
      <x:c r="E109" s="19" t="n">
        <x:f>200*('Месяцы_рынки'!F94-'Месяцы_рынки'!F82)/('Месяцы_рынки'!F94+'Месяцы_рынки'!F82)</x:f>
        <x:v>34.62764916535493</x:v>
      </x:c>
      <x:c r="F109" s="19" t="n">
        <x:f>200*('Месяцы_рынки'!G94-'Месяцы_рынки'!G82)/('Месяцы_рынки'!G94+'Месяцы_рынки'!G82)</x:f>
        <x:v>-74.52586581834889</x:v>
      </x:c>
      <x:c r="G109" s="19" t="n">
        <x:f>200*('Месяцы_рынки'!H94-'Месяцы_рынки'!H82)/('Месяцы_рынки'!H94+'Месяцы_рынки'!H82)</x:f>
        <x:v>-9.644129764389564</x:v>
      </x:c>
      <x:c r="H109" s="19" t="n">
        <x:f>200*('Месяцы_рынки'!I94-'Месяцы_рынки'!I82)/('Месяцы_рынки'!I94+'Месяцы_рынки'!I82)</x:f>
        <x:v>-20.147254379547082</x:v>
      </x:c>
      <x:c r="I109" s="19" t="n">
        <x:f>200*('Месяцы_рынки'!J94-'Месяцы_рынки'!J82)/('Месяцы_рынки'!J94+'Месяцы_рынки'!J82)</x:f>
        <x:v>-16.13017394836612</x:v>
      </x:c>
      <x:c r="J109" s="19" t="n">
        <x:f>200*('Месяцы_рынки'!K94-'Месяцы_рынки'!K82)/('Месяцы_рынки'!K94+'Месяцы_рынки'!K82)</x:f>
        <x:v>10.149379477648933</x:v>
      </x:c>
    </x:row>
    <x:row r="110" ht="22" customHeight="1">
      <x:c r="A110" s="20" t="d">
        <x:v>2024-05-01T00:00:00.000Z</x:v>
      </x:c>
      <x:c r="B110" s="19" t="n">
        <x:f>200*('Месяцы_рынки'!C95-'Месяцы_рынки'!C83)/('Месяцы_рынки'!C95+'Месяцы_рынки'!C83)</x:f>
        <x:v>-11.00685604108324</x:v>
      </x:c>
      <x:c r="C110" s="19" t="n">
        <x:f>200*('Месяцы_рынки'!D95-'Месяцы_рынки'!D83)/('Месяцы_рынки'!D95+'Месяцы_рынки'!D83)</x:f>
        <x:v>18.93745590238206</x:v>
      </x:c>
      <x:c r="D110" s="19" t="n">
        <x:f>200*('Месяцы_рынки'!E95-'Месяцы_рынки'!E83)/('Месяцы_рынки'!E95+'Месяцы_рынки'!E83)</x:f>
        <x:v>61.788804262310656</x:v>
      </x:c>
      <x:c r="E110" s="19" t="n">
        <x:f>200*('Месяцы_рынки'!F95-'Месяцы_рынки'!F83)/('Месяцы_рынки'!F95+'Месяцы_рынки'!F83)</x:f>
        <x:v>44.907650778112256</x:v>
      </x:c>
      <x:c r="F110" s="19" t="n">
        <x:f>200*('Месяцы_рынки'!G95-'Месяцы_рынки'!G83)/('Месяцы_рынки'!G95+'Месяцы_рынки'!G83)</x:f>
        <x:v>-78.4784609096059</x:v>
      </x:c>
      <x:c r="G110" s="19" t="n">
        <x:f>200*('Месяцы_рынки'!H95-'Месяцы_рынки'!H83)/('Месяцы_рынки'!H95+'Месяцы_рынки'!H83)</x:f>
        <x:v>8.703015051783765</x:v>
      </x:c>
      <x:c r="H110" s="19" t="n">
        <x:f>200*('Месяцы_рынки'!I95-'Месяцы_рынки'!I83)/('Месяцы_рынки'!I95+'Месяцы_рынки'!I83)</x:f>
        <x:v>-0.6926407112695996</x:v>
      </x:c>
      <x:c r="I110" s="19" t="n">
        <x:f>200*('Месяцы_рынки'!J95-'Месяцы_рынки'!J83)/('Месяцы_рынки'!J95+'Месяцы_рынки'!J83)</x:f>
        <x:v>2.617365984819241</x:v>
      </x:c>
      <x:c r="J110" s="19" t="n">
        <x:f>200*('Месяцы_рынки'!K95-'Месяцы_рынки'!K83)/('Месяцы_рынки'!K95+'Месяцы_рынки'!K83)</x:f>
        <x:v>1.8286333130804602</x:v>
      </x:c>
    </x:row>
    <x:row r="111" ht="22" customHeight="1">
      <x:c r="A111" s="20" t="d">
        <x:v>2024-06-01T00:00:00.000Z</x:v>
      </x:c>
      <x:c r="B111" s="19" t="n">
        <x:f>200*('Месяцы_рынки'!C96-'Месяцы_рынки'!C84)/('Месяцы_рынки'!C96+'Месяцы_рынки'!C84)</x:f>
        <x:v>-16.8192498860144</x:v>
      </x:c>
      <x:c r="C111" s="19" t="n">
        <x:f>200*('Месяцы_рынки'!D96-'Месяцы_рынки'!D84)/('Месяцы_рынки'!D96+'Месяцы_рынки'!D84)</x:f>
        <x:v>-5.237023681759015</x:v>
      </x:c>
      <x:c r="D111" s="19" t="n">
        <x:f>200*('Месяцы_рынки'!E96-'Месяцы_рынки'!E84)/('Месяцы_рынки'!E96+'Месяцы_рынки'!E84)</x:f>
        <x:v>33.28549549713734</x:v>
      </x:c>
      <x:c r="E111" s="19" t="n">
        <x:f>200*('Месяцы_рынки'!F96-'Месяцы_рынки'!F84)/('Месяцы_рынки'!F96+'Месяцы_рынки'!F84)</x:f>
        <x:v>2.2468225540564015</x:v>
      </x:c>
      <x:c r="F111" s="19" t="n">
        <x:f>200*('Месяцы_рынки'!G96-'Месяцы_рынки'!G84)/('Месяцы_рынки'!G96+'Месяцы_рынки'!G84)</x:f>
        <x:v>-89.66330074177398</x:v>
      </x:c>
      <x:c r="G111" s="19" t="n">
        <x:f>200*('Месяцы_рынки'!H96-'Месяцы_рынки'!H84)/('Месяцы_рынки'!H96+'Месяцы_рынки'!H84)</x:f>
        <x:v>-1.5723063891002278</x:v>
      </x:c>
      <x:c r="H111" s="19" t="n">
        <x:f>200*('Месяцы_рынки'!I96-'Месяцы_рынки'!I84)/('Месяцы_рынки'!I96+'Месяцы_рынки'!I84)</x:f>
        <x:v>-5.846982397521706</x:v>
      </x:c>
      <x:c r="I111" s="19" t="n">
        <x:f>200*('Месяцы_рынки'!J96-'Месяцы_рынки'!J84)/('Месяцы_рынки'!J96+'Месяцы_рынки'!J84)</x:f>
        <x:v>-10.833571393212887</x:v>
      </x:c>
      <x:c r="J111" s="19" t="n">
        <x:f>200*('Месяцы_рынки'!K96-'Месяцы_рынки'!K84)/('Месяцы_рынки'!K96+'Месяцы_рынки'!K84)</x:f>
        <x:v>-13.2686396486782</x:v>
      </x:c>
    </x:row>
    <x:row r="112" ht="22" customHeight="1">
      <x:c r="A112" s="20" t="d">
        <x:v>2024-07-01T00:00:00.000Z</x:v>
      </x:c>
      <x:c r="B112" s="19" t="n">
        <x:f>200*('Месяцы_рынки'!C97-'Месяцы_рынки'!C85)/('Месяцы_рынки'!C97+'Месяцы_рынки'!C85)</x:f>
        <x:v>-2.9097581252470377</x:v>
      </x:c>
      <x:c r="C112" s="19" t="n">
        <x:f>200*('Месяцы_рынки'!D97-'Месяцы_рынки'!D85)/('Месяцы_рынки'!D97+'Месяцы_рынки'!D85)</x:f>
        <x:v>28.062808827072338</x:v>
      </x:c>
      <x:c r="D112" s="19" t="n">
        <x:f>200*('Месяцы_рынки'!E97-'Месяцы_рынки'!E85)/('Месяцы_рынки'!E97+'Месяцы_рынки'!E85)</x:f>
        <x:v>44.341407944421434</x:v>
      </x:c>
      <x:c r="E112" s="19" t="n">
        <x:f>200*('Месяцы_рынки'!F97-'Месяцы_рынки'!F85)/('Месяцы_рынки'!F97+'Месяцы_рынки'!F85)</x:f>
        <x:v>-13.683228694671502</x:v>
      </x:c>
      <x:c r="F112" s="19" t="n">
        <x:f>200*('Месяцы_рынки'!G97-'Месяцы_рынки'!G85)/('Месяцы_рынки'!G97+'Месяцы_рынки'!G85)</x:f>
        <x:v>-97.86504027619642</x:v>
      </x:c>
      <x:c r="G112" s="19" t="n">
        <x:f>200*('Месяцы_рынки'!H97-'Месяцы_рынки'!H85)/('Месяцы_рынки'!H97+'Месяцы_рынки'!H85)</x:f>
        <x:v>-8.443058918708529</x:v>
      </x:c>
      <x:c r="H112" s="19" t="n">
        <x:f>200*('Месяцы_рынки'!I97-'Месяцы_рынки'!I85)/('Месяцы_рынки'!I97+'Месяцы_рынки'!I85)</x:f>
        <x:v>-5.015453832120947</x:v>
      </x:c>
      <x:c r="I112" s="19" t="n">
        <x:f>200*('Месяцы_рынки'!J97-'Месяцы_рынки'!J85)/('Месяцы_рынки'!J97+'Месяцы_рынки'!J85)</x:f>
        <x:v>-5.50940419998017</x:v>
      </x:c>
      <x:c r="J112" s="19" t="n">
        <x:f>200*('Месяцы_рынки'!K97-'Месяцы_рынки'!K85)/('Месяцы_рынки'!K97+'Месяцы_рынки'!K85)</x:f>
        <x:v>42.23168771156955</x:v>
      </x:c>
    </x:row>
    <x:row r="113" ht="22" customHeight="1">
      <x:c r="A113" s="20" t="d">
        <x:v>2024-08-01T00:00:00.000Z</x:v>
      </x:c>
      <x:c r="B113" s="19" t="n">
        <x:f>200*('Месяцы_рынки'!C98-'Месяцы_рынки'!C86)/('Месяцы_рынки'!C98+'Месяцы_рынки'!C86)</x:f>
        <x:v>3.6233591879644447</x:v>
      </x:c>
      <x:c r="C113" s="19" t="n">
        <x:f>200*('Месяцы_рынки'!D98-'Месяцы_рынки'!D86)/('Месяцы_рынки'!D98+'Месяцы_рынки'!D86)</x:f>
        <x:v>53.29367264168193</x:v>
      </x:c>
      <x:c r="D113" s="19" t="n">
        <x:f>200*('Месяцы_рынки'!E98-'Месяцы_рынки'!E86)/('Месяцы_рынки'!E98+'Месяцы_рынки'!E86)</x:f>
        <x:v>35.73834410696273</x:v>
      </x:c>
      <x:c r="E113" s="19" t="n">
        <x:f>200*('Месяцы_рынки'!F98-'Месяцы_рынки'!F86)/('Месяцы_рынки'!F98+'Месяцы_рынки'!F86)</x:f>
        <x:v>-46.06025317136379</x:v>
      </x:c>
      <x:c r="F113" s="19" t="n">
        <x:f>200*('Месяцы_рынки'!G98-'Месяцы_рынки'!G86)/('Месяцы_рынки'!G98+'Месяцы_рынки'!G86)</x:f>
        <x:v>-7.151032162914785</x:v>
      </x:c>
      <x:c r="G113" s="19" t="n">
        <x:f>200*('Месяцы_рынки'!H98-'Месяцы_рынки'!H86)/('Месяцы_рынки'!H98+'Месяцы_рынки'!H86)</x:f>
        <x:v>-6.027730347053668</x:v>
      </x:c>
      <x:c r="H113" s="19" t="n">
        <x:f>200*('Месяцы_рынки'!I98-'Месяцы_рынки'!I86)/('Месяцы_рынки'!I98+'Месяцы_рынки'!I86)</x:f>
        <x:v>3.4270551409981276</x:v>
      </x:c>
      <x:c r="I113" s="19" t="n">
        <x:f>200*('Месяцы_рынки'!J98-'Месяцы_рынки'!J86)/('Месяцы_рынки'!J98+'Месяцы_рынки'!J86)</x:f>
        <x:v>-0.17860795867277465</x:v>
      </x:c>
      <x:c r="J113" s="19" t="n">
        <x:f>200*('Месяцы_рынки'!K98-'Месяцы_рынки'!K86)/('Месяцы_рынки'!K98+'Месяцы_рынки'!K86)</x:f>
        <x:v>22.7774999051924</x:v>
      </x:c>
    </x:row>
    <x:row r="114" ht="22" customHeight="1">
      <x:c r="A114" s="20" t="d">
        <x:v>2024-09-01T00:00:00.000Z</x:v>
      </x:c>
      <x:c r="B114" s="19" t="n">
        <x:f>200*('Месяцы_рынки'!C99-'Месяцы_рынки'!C87)/('Месяцы_рынки'!C99+'Месяцы_рынки'!C87)</x:f>
        <x:v>11.555900416312065</x:v>
      </x:c>
      <x:c r="C114" s="19" t="n">
        <x:f>200*('Месяцы_рынки'!D99-'Месяцы_рынки'!D87)/('Месяцы_рынки'!D99+'Месяцы_рынки'!D87)</x:f>
        <x:v>65.34269686335767</x:v>
      </x:c>
      <x:c r="D114" s="19" t="n">
        <x:f>200*('Месяцы_рынки'!E99-'Месяцы_рынки'!E87)/('Месяцы_рынки'!E99+'Месяцы_рынки'!E87)</x:f>
        <x:v>23.964674014095294</x:v>
      </x:c>
      <x:c r="E114" s="19" t="n">
        <x:f>200*('Месяцы_рынки'!F99-'Месяцы_рынки'!F87)/('Месяцы_рынки'!F99+'Месяцы_рынки'!F87)</x:f>
        <x:v>-30.79341211237955</x:v>
      </x:c>
      <x:c r="F114" s="19" t="n">
        <x:f>200*('Месяцы_рынки'!G99-'Месяцы_рынки'!G87)/('Месяцы_рынки'!G99+'Месяцы_рынки'!G87)</x:f>
        <x:v>-23.33057061702668</x:v>
      </x:c>
      <x:c r="G114" s="19" t="n">
        <x:f>200*('Месяцы_рынки'!H99-'Месяцы_рынки'!H87)/('Месяцы_рынки'!H99+'Месяцы_рынки'!H87)</x:f>
        <x:v>25.69690814779614</x:v>
      </x:c>
      <x:c r="H114" s="19" t="n">
        <x:f>200*('Месяцы_рынки'!I99-'Месяцы_рынки'!I87)/('Месяцы_рынки'!I99+'Месяцы_рынки'!I87)</x:f>
        <x:v>5.783869801377133</x:v>
      </x:c>
      <x:c r="I114" s="19" t="n">
        <x:f>200*('Месяцы_рынки'!J99-'Месяцы_рынки'!J87)/('Месяцы_рынки'!J99+'Месяцы_рынки'!J87)</x:f>
        <x:v>-7.131668525041213</x:v>
      </x:c>
      <x:c r="J114" s="19" t="n">
        <x:f>200*('Месяцы_рынки'!K99-'Месяцы_рынки'!K87)/('Месяцы_рынки'!K99+'Месяцы_рынки'!K87)</x:f>
        <x:v>21.4928805163955</x:v>
      </x:c>
    </x:row>
    <x:row r="115" ht="22" customHeight="1">
      <x:c r="A115" s="20" t="d">
        <x:v>2024-10-01T00:00:00.000Z</x:v>
      </x:c>
      <x:c r="B115" s="19" t="n">
        <x:f>200*('Месяцы_рынки'!C100-'Месяцы_рынки'!C88)/('Месяцы_рынки'!C100+'Месяцы_рынки'!C88)</x:f>
        <x:v>11.438191658541868</x:v>
      </x:c>
      <x:c r="C115" s="19" t="n">
        <x:f>200*('Месяцы_рынки'!D100-'Месяцы_рынки'!D88)/('Месяцы_рынки'!D100+'Месяцы_рынки'!D88)</x:f>
        <x:v>39.28265711847114</x:v>
      </x:c>
      <x:c r="D115" s="19" t="n">
        <x:f>200*('Месяцы_рынки'!E100-'Месяцы_рынки'!E88)/('Месяцы_рынки'!E100+'Месяцы_рынки'!E88)</x:f>
        <x:v>-7.349428348103876</x:v>
      </x:c>
      <x:c r="E115" s="19" t="n">
        <x:f>200*('Месяцы_рынки'!F100-'Месяцы_рынки'!F88)/('Месяцы_рынки'!F100+'Месяцы_рынки'!F88)</x:f>
        <x:v>-67.24862902226113</x:v>
      </x:c>
      <x:c r="F115" s="19" t="n">
        <x:f>200*('Месяцы_рынки'!G100-'Месяцы_рынки'!G88)/('Месяцы_рынки'!G100+'Месяцы_рынки'!G88)</x:f>
        <x:v>71.1391520900976</x:v>
      </x:c>
      <x:c r="G115" s="19" t="n">
        <x:f>200*('Месяцы_рынки'!H100-'Месяцы_рынки'!H88)/('Месяцы_рынки'!H100+'Месяцы_рынки'!H88)</x:f>
        <x:v>0.6165575626205047</x:v>
      </x:c>
      <x:c r="H115" s="19" t="n">
        <x:f>200*('Месяцы_рынки'!I100-'Месяцы_рынки'!I88)/('Месяцы_рынки'!I100+'Месяцы_рынки'!I88)</x:f>
        <x:v>-0.19422848167797863</x:v>
      </x:c>
      <x:c r="I115" s="19" t="n">
        <x:f>200*('Месяцы_рынки'!J100-'Месяцы_рынки'!J88)/('Месяцы_рынки'!J100+'Месяцы_рынки'!J88)</x:f>
        <x:v>-2.4152404867284996</x:v>
      </x:c>
      <x:c r="J115" s="19" t="n">
        <x:f>200*('Месяцы_рынки'!K100-'Месяцы_рынки'!K88)/('Месяцы_рынки'!K100+'Месяцы_рынки'!K88)</x:f>
        <x:v>8.623149312802447</x:v>
      </x:c>
    </x:row>
    <x:row r="116" ht="22" customHeight="1">
      <x:c r="A116" s="20" t="d">
        <x:v>2024-11-01T00:00:00.000Z</x:v>
      </x:c>
      <x:c r="B116" s="19" t="n">
        <x:f>200*('Месяцы_рынки'!C101-'Месяцы_рынки'!C89)/('Месяцы_рынки'!C101+'Месяцы_рынки'!C89)</x:f>
        <x:v>10.797239369657467</x:v>
      </x:c>
      <x:c r="C116" s="19" t="n">
        <x:f>200*('Месяцы_рынки'!D101-'Месяцы_рынки'!D89)/('Месяцы_рынки'!D101+'Месяцы_рынки'!D89)</x:f>
        <x:v>25.092311036299442</x:v>
      </x:c>
      <x:c r="D116" s="19" t="n">
        <x:f>200*('Месяцы_рынки'!E101-'Месяцы_рынки'!E89)/('Месяцы_рынки'!E101+'Месяцы_рынки'!E89)</x:f>
        <x:v>-22.129940842839957</x:v>
      </x:c>
      <x:c r="E116" s="19" t="n">
        <x:f>200*('Месяцы_рынки'!F101-'Месяцы_рынки'!F89)/('Месяцы_рынки'!F101+'Месяцы_рынки'!F89)</x:f>
        <x:v>-97.97999999332723</x:v>
      </x:c>
      <x:c r="F116" s="19" t="n">
        <x:f>200*('Месяцы_рынки'!G101-'Месяцы_рынки'!G89)/('Месяцы_рынки'!G101+'Месяцы_рынки'!G89)</x:f>
        <x:v>124.00927981614522</x:v>
      </x:c>
      <x:c r="G116" s="19" t="n">
        <x:f>200*('Месяцы_рынки'!H101-'Месяцы_рынки'!H89)/('Месяцы_рынки'!H101+'Месяцы_рынки'!H89)</x:f>
        <x:v>13.97512494975323</x:v>
      </x:c>
      <x:c r="H116" s="19" t="n">
        <x:f>200*('Месяцы_рынки'!I101-'Месяцы_рынки'!I89)/('Месяцы_рынки'!I101+'Месяцы_рынки'!I89)</x:f>
        <x:v>-7.864910514368879</x:v>
      </x:c>
      <x:c r="I116" s="19" t="n">
        <x:f>200*('Месяцы_рынки'!J101-'Месяцы_рынки'!J89)/('Месяцы_рынки'!J101+'Месяцы_рынки'!J89)</x:f>
        <x:v>-26.37292862946783</x:v>
      </x:c>
      <x:c r="J116" s="19" t="n">
        <x:f>200*('Месяцы_рынки'!K101-'Месяцы_рынки'!K89)/('Месяцы_рынки'!K101+'Месяцы_рынки'!K89)</x:f>
        <x:v>-6.238882847562551</x:v>
      </x:c>
    </x:row>
    <x:row r="117" ht="22" customHeight="1">
      <x:c r="A117" s="20" t="d">
        <x:v>2024-12-01T00:00:00.000Z</x:v>
      </x:c>
      <x:c r="B117" s="19" t="n">
        <x:f>200*('Месяцы_рынки'!C102-'Месяцы_рынки'!C90)/('Месяцы_рынки'!C102+'Месяцы_рынки'!C90)</x:f>
        <x:v>5.448445106976659</x:v>
      </x:c>
      <x:c r="C117" s="19" t="n">
        <x:f>200*('Месяцы_рынки'!D102-'Месяцы_рынки'!D90)/('Месяцы_рынки'!D102+'Месяцы_рынки'!D90)</x:f>
        <x:v>24.77937106924908</x:v>
      </x:c>
      <x:c r="D117" s="19" t="n">
        <x:f>200*('Месяцы_рынки'!E102-'Месяцы_рынки'!E90)/('Месяцы_рынки'!E102+'Месяцы_рынки'!E90)</x:f>
        <x:v>-10.15793081360626</x:v>
      </x:c>
      <x:c r="E117" s="19" t="n">
        <x:f>200*('Месяцы_рынки'!F102-'Месяцы_рынки'!F90)/('Месяцы_рынки'!F102+'Месяцы_рынки'!F90)</x:f>
        <x:v>-60.795341582147294</x:v>
      </x:c>
      <x:c r="F117" s="19" t="n">
        <x:f>200*('Месяцы_рынки'!G102-'Месяцы_рынки'!G90)/('Месяцы_рынки'!G102+'Месяцы_рынки'!G90)</x:f>
        <x:v>117.99339709992381</x:v>
      </x:c>
      <x:c r="G117" s="19" t="n">
        <x:f>200*('Месяцы_рынки'!H102-'Месяцы_рынки'!H90)/('Месяцы_рынки'!H102+'Месяцы_рынки'!H90)</x:f>
        <x:v>19.93448985930064</x:v>
      </x:c>
      <x:c r="H117" s="19" t="n">
        <x:f>200*('Месяцы_рынки'!I102-'Месяцы_рынки'!I90)/('Месяцы_рынки'!I102+'Месяцы_рынки'!I90)</x:f>
        <x:v>3.852663194622821</x:v>
      </x:c>
      <x:c r="I117" s="19" t="n">
        <x:f>200*('Месяцы_рынки'!J102-'Месяцы_рынки'!J90)/('Месяцы_рынки'!J102+'Месяцы_рынки'!J90)</x:f>
        <x:v>-19.819511715636352</x:v>
      </x:c>
      <x:c r="J117" s="19" t="n">
        <x:f>200*('Месяцы_рынки'!K102-'Месяцы_рынки'!K90)/('Месяцы_рынки'!K102+'Месяцы_рынки'!K90)</x:f>
        <x:v>1.2139751374410046</x:v>
      </x:c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 ht="26" customHeight="1">
      <x:c r="A120" s="8" t="str">
        <x:v>Республика Корея: рост направлений, п.п.</x:v>
      </x:c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 ht="40" customHeight="1">
      <x:c r="A121" s="13" t="str">
        <x:v>Месяц</x:v>
      </x:c>
      <x:c r="B121" s="13" t="str">
        <x:v>Китай</x:v>
      </x:c>
      <x:c r="C121" s="13" t="str">
        <x:v>Гонконг</x:v>
      </x:c>
      <x:c r="D121" s="13" t="str">
        <x:v>Прочая Азия, н.в.д. (490)</x:v>
      </x:c>
      <x:c r="E121" s="13" t="str">
        <x:v>Вьетнам</x:v>
      </x:c>
      <x:c r="F121" s="13" t="str">
        <x:v>Сингапур</x:v>
      </x:c>
      <x:c r="G121" s="13" t="str">
        <x:v>Филиппины</x:v>
      </x:c>
      <x:c r="H121" s="13" t="str">
        <x:v>США</x:v>
      </x:c>
      <x:c r="I121" s="13" t="str">
        <x:v>Таиланд</x:v>
      </x:c>
      <x:c r="J121" s="13" t="str">
        <x:v>Остальные направления</x:v>
      </x:c>
    </x:row>
    <x:row r="122" ht="22" customHeight="1">
      <x:c r="A122" s="20" t="d">
        <x:v>2018-01-01T00:00:00.000Z</x:v>
      </x:c>
      <x:c r="B122" s="19" t="n">
        <x:f>200*('Месяцы_рынки'!C115-'Месяцы_рынки'!C103)/('Месяцы_рынки'!C115+'Месяцы_рынки'!C103)</x:f>
        <x:v>57.72736631546725</x:v>
      </x:c>
      <x:c r="C122" s="19" t="n">
        <x:f>200*('Месяцы_рынки'!D115-'Месяцы_рынки'!D103)/('Месяцы_рынки'!D115+'Месяцы_рынки'!D103)</x:f>
        <x:v>24.631109731109206</x:v>
      </x:c>
      <x:c r="D122" s="19" t="n">
        <x:f>200*('Месяцы_рынки'!E115-'Месяцы_рынки'!E103)/('Месяцы_рынки'!E115+'Месяцы_рынки'!E103)</x:f>
        <x:v>13.534616195728981</x:v>
      </x:c>
      <x:c r="E122" s="19" t="n">
        <x:f>200*('Месяцы_рынки'!F115-'Месяцы_рынки'!F103)/('Месяцы_рынки'!F115+'Месяцы_рынки'!F103)</x:f>
        <x:v>69.52892455572137</x:v>
      </x:c>
      <x:c r="F122" s="19" t="n">
        <x:f>200*('Месяцы_рынки'!G115-'Месяцы_рынки'!G103)/('Месяцы_рынки'!G115+'Месяцы_рынки'!G103)</x:f>
        <x:v>1.675006512058045</x:v>
      </x:c>
      <x:c r="G122" s="19" t="n">
        <x:f>200*('Месяцы_рынки'!H115-'Месяцы_рынки'!H103)/('Месяцы_рынки'!H115+'Месяцы_рынки'!H103)</x:f>
        <x:v>55.07732349548133</x:v>
      </x:c>
      <x:c r="H122" s="19" t="n">
        <x:f>200*('Месяцы_рынки'!I115-'Месяцы_рынки'!I103)/('Месяцы_рынки'!I115+'Месяцы_рынки'!I103)</x:f>
        <x:v>-15.392996502309407</x:v>
      </x:c>
      <x:c r="I122" s="19" t="n">
        <x:f>200*('Месяцы_рынки'!J115-'Месяцы_рынки'!J103)/('Месяцы_рынки'!J115+'Месяцы_рынки'!J103)</x:f>
        <x:v>18.375209704851848</x:v>
      </x:c>
      <x:c r="J122" s="19" t="n">
        <x:f>200*('Месяцы_рынки'!K115-'Месяцы_рынки'!K103)/('Месяцы_рынки'!K115+'Месяцы_рынки'!K103)</x:f>
        <x:v>19.811912873723617</x:v>
      </x:c>
    </x:row>
    <x:row r="123" ht="22" customHeight="1">
      <x:c r="A123" s="20" t="d">
        <x:v>2018-02-01T00:00:00.000Z</x:v>
      </x:c>
      <x:c r="B123" s="19" t="n">
        <x:f>200*('Месяцы_рынки'!C116-'Месяцы_рынки'!C104)/('Месяцы_рынки'!C116+'Месяцы_рынки'!C104)</x:f>
        <x:v>46.952407690281326</x:v>
      </x:c>
      <x:c r="C123" s="19" t="n">
        <x:f>200*('Месяцы_рынки'!D116-'Месяцы_рынки'!D104)/('Месяцы_рынки'!D116+'Месяцы_рынки'!D104)</x:f>
        <x:v>15.709329393378285</x:v>
      </x:c>
      <x:c r="D123" s="19" t="n">
        <x:f>200*('Месяцы_рынки'!E116-'Месяцы_рынки'!E104)/('Месяцы_рынки'!E116+'Месяцы_рынки'!E104)</x:f>
        <x:v>5.46889544255477</x:v>
      </x:c>
      <x:c r="E123" s="19" t="n">
        <x:f>200*('Месяцы_рынки'!F116-'Месяцы_рынки'!F104)/('Месяцы_рынки'!F116+'Месяцы_рынки'!F104)</x:f>
        <x:v>56.320119846024596</x:v>
      </x:c>
      <x:c r="F123" s="19" t="n">
        <x:f>200*('Месяцы_рынки'!G116-'Месяцы_рынки'!G104)/('Месяцы_рынки'!G116+'Месяцы_рынки'!G104)</x:f>
        <x:v>0.33507462401646887</x:v>
      </x:c>
      <x:c r="G123" s="19" t="n">
        <x:f>200*('Месяцы_рынки'!H116-'Месяцы_рынки'!H104)/('Месяцы_рынки'!H116+'Месяцы_рынки'!H104)</x:f>
        <x:v>55.578337833716205</x:v>
      </x:c>
      <x:c r="H123" s="19" t="n">
        <x:f>200*('Месяцы_рынки'!I116-'Месяцы_рынки'!I104)/('Месяцы_рынки'!I116+'Месяцы_рынки'!I104)</x:f>
        <x:v>-0.1629861707829074</x:v>
      </x:c>
      <x:c r="I123" s="19" t="n">
        <x:f>200*('Месяцы_рынки'!J116-'Месяцы_рынки'!J104)/('Месяцы_рынки'!J116+'Месяцы_рынки'!J104)</x:f>
        <x:v>-8.66707754014348</x:v>
      </x:c>
      <x:c r="J123" s="19" t="n">
        <x:f>200*('Месяцы_рынки'!K116-'Месяцы_рынки'!K104)/('Месяцы_рынки'!K116+'Месяцы_рынки'!K104)</x:f>
        <x:v>25.70085110820754</x:v>
      </x:c>
    </x:row>
    <x:row r="124" ht="22" customHeight="1">
      <x:c r="A124" s="20" t="d">
        <x:v>2018-03-01T00:00:00.000Z</x:v>
      </x:c>
      <x:c r="B124" s="19" t="n">
        <x:f>200*('Месяцы_рынки'!C117-'Месяцы_рынки'!C105)/('Месяцы_рынки'!C117+'Месяцы_рынки'!C105)</x:f>
        <x:v>51.09554102552187</x:v>
      </x:c>
      <x:c r="C124" s="19" t="n">
        <x:f>200*('Месяцы_рынки'!D117-'Месяцы_рынки'!D105)/('Месяцы_рынки'!D117+'Месяцы_рынки'!D105)</x:f>
        <x:v>33.94475461795828</x:v>
      </x:c>
      <x:c r="D124" s="19" t="n">
        <x:f>200*('Месяцы_рынки'!E117-'Месяцы_рынки'!E105)/('Месяцы_рынки'!E117+'Месяцы_рынки'!E105)</x:f>
        <x:v>13.360381978988437</x:v>
      </x:c>
      <x:c r="E124" s="19" t="n">
        <x:f>200*('Месяцы_рынки'!F117-'Месяцы_рынки'!F105)/('Месяцы_рынки'!F117+'Месяцы_рынки'!F105)</x:f>
        <x:v>24.299547953281728</x:v>
      </x:c>
      <x:c r="F124" s="19" t="n">
        <x:f>200*('Месяцы_рынки'!G117-'Месяцы_рынки'!G105)/('Месяцы_рынки'!G117+'Месяцы_рынки'!G105)</x:f>
        <x:v>-8.156420760975669</x:v>
      </x:c>
      <x:c r="G124" s="19" t="n">
        <x:f>200*('Месяцы_рынки'!H117-'Месяцы_рынки'!H105)/('Месяцы_рынки'!H117+'Месяцы_рынки'!H105)</x:f>
        <x:v>46.18077665716914</x:v>
      </x:c>
      <x:c r="H124" s="19" t="n">
        <x:f>200*('Месяцы_рынки'!I117-'Месяцы_рынки'!I105)/('Месяцы_рынки'!I117+'Месяцы_рынки'!I105)</x:f>
        <x:v>0.9226867736563408</x:v>
      </x:c>
      <x:c r="I124" s="19" t="n">
        <x:f>200*('Месяцы_рынки'!J117-'Месяцы_рынки'!J105)/('Месяцы_рынки'!J117+'Месяцы_рынки'!J105)</x:f>
        <x:v>6.178008972239866</x:v>
      </x:c>
      <x:c r="J124" s="19" t="n">
        <x:f>200*('Месяцы_рынки'!K117-'Месяцы_рынки'!K105)/('Месяцы_рынки'!K117+'Месяцы_рынки'!K105)</x:f>
        <x:v>29.966398345770738</x:v>
      </x:c>
    </x:row>
    <x:row r="125" ht="22" customHeight="1">
      <x:c r="A125" s="20" t="d">
        <x:v>2018-04-01T00:00:00.000Z</x:v>
      </x:c>
      <x:c r="B125" s="19" t="n">
        <x:f>200*('Месяцы_рынки'!C118-'Месяцы_рынки'!C106)/('Месяцы_рынки'!C118+'Месяцы_рынки'!C106)</x:f>
        <x:v>41.65945150285044</x:v>
      </x:c>
      <x:c r="C125" s="19" t="n">
        <x:f>200*('Месяцы_рынки'!D118-'Месяцы_рынки'!D106)/('Месяцы_рынки'!D118+'Месяцы_рынки'!D106)</x:f>
        <x:v>32.39370110956954</x:v>
      </x:c>
      <x:c r="D125" s="19" t="n">
        <x:f>200*('Месяцы_рынки'!E118-'Месяцы_рынки'!E106)/('Месяцы_рынки'!E118+'Месяцы_рынки'!E106)</x:f>
        <x:v>31.875404049145846</x:v>
      </x:c>
      <x:c r="E125" s="19" t="n">
        <x:f>200*('Месяцы_рынки'!F118-'Месяцы_рынки'!F106)/('Месяцы_рынки'!F118+'Месяцы_рынки'!F106)</x:f>
        <x:v>-5.996248386815855</x:v>
      </x:c>
      <x:c r="F125" s="19" t="n">
        <x:f>200*('Месяцы_рынки'!G118-'Месяцы_рынки'!G106)/('Месяцы_рынки'!G118+'Месяцы_рынки'!G106)</x:f>
        <x:v>15.603503348825681</x:v>
      </x:c>
      <x:c r="G125" s="19" t="n">
        <x:f>200*('Месяцы_рынки'!H118-'Месяцы_рынки'!H106)/('Месяцы_рынки'!H118+'Месяцы_рынки'!H106)</x:f>
        <x:v>39.36726581125065</x:v>
      </x:c>
      <x:c r="H125" s="19" t="n">
        <x:f>200*('Месяцы_рынки'!I118-'Месяцы_рынки'!I106)/('Месяцы_рынки'!I118+'Месяцы_рынки'!I106)</x:f>
        <x:v>38.78796838667022</x:v>
      </x:c>
      <x:c r="I125" s="19" t="n">
        <x:f>200*('Месяцы_рынки'!J118-'Месяцы_рынки'!J106)/('Месяцы_рынки'!J118+'Месяцы_рынки'!J106)</x:f>
        <x:v>-11.47934567897003</x:v>
      </x:c>
      <x:c r="J125" s="19" t="n">
        <x:f>200*('Месяцы_рынки'!K118-'Месяцы_рынки'!K106)/('Месяцы_рынки'!K118+'Месяцы_рынки'!K106)</x:f>
        <x:v>26.73248083907943</x:v>
      </x:c>
    </x:row>
    <x:row r="126" ht="22" customHeight="1">
      <x:c r="A126" s="20" t="d">
        <x:v>2018-05-01T00:00:00.000Z</x:v>
      </x:c>
      <x:c r="B126" s="19" t="n">
        <x:f>200*('Месяцы_рынки'!C119-'Месяцы_рынки'!C107)/('Месяцы_рынки'!C119+'Месяцы_рынки'!C107)</x:f>
        <x:v>40.93804857320161</x:v>
      </x:c>
      <x:c r="C126" s="19" t="n">
        <x:f>200*('Месяцы_рынки'!D119-'Месяцы_рынки'!D107)/('Месяцы_рынки'!D119+'Месяцы_рынки'!D107)</x:f>
        <x:v>44.78599292060532</x:v>
      </x:c>
      <x:c r="D126" s="19" t="n">
        <x:f>200*('Месяцы_рынки'!E119-'Месяцы_рынки'!E107)/('Месяцы_рынки'!E119+'Месяцы_рынки'!E107)</x:f>
        <x:v>26.57599703183981</x:v>
      </x:c>
      <x:c r="E126" s="19" t="n">
        <x:f>200*('Месяцы_рынки'!F119-'Месяцы_рынки'!F107)/('Месяцы_рынки'!F119+'Месяцы_рынки'!F107)</x:f>
        <x:v>5.93770755560023</x:v>
      </x:c>
      <x:c r="F126" s="19" t="n">
        <x:f>200*('Месяцы_рынки'!G119-'Месяцы_рынки'!G107)/('Месяцы_рынки'!G119+'Месяцы_рынки'!G107)</x:f>
        <x:v>-5.741402235265955</x:v>
      </x:c>
      <x:c r="G126" s="19" t="n">
        <x:f>200*('Месяцы_рынки'!H119-'Месяцы_рынки'!H107)/('Месяцы_рынки'!H119+'Месяцы_рынки'!H107)</x:f>
        <x:v>37.46056158212596</x:v>
      </x:c>
      <x:c r="H126" s="19" t="n">
        <x:f>200*('Месяцы_рынки'!I119-'Месяцы_рынки'!I107)/('Месяцы_рынки'!I119+'Месяцы_рынки'!I107)</x:f>
        <x:v>51.71550780267443</x:v>
      </x:c>
      <x:c r="I126" s="19" t="n">
        <x:f>200*('Месяцы_рынки'!J119-'Месяцы_рынки'!J107)/('Месяцы_рынки'!J119+'Месяцы_рынки'!J107)</x:f>
        <x:v>-7.5525164712789525</x:v>
      </x:c>
      <x:c r="J126" s="19" t="n">
        <x:f>200*('Месяцы_рынки'!K119-'Месяцы_рынки'!K107)/('Месяцы_рынки'!K119+'Месяцы_рынки'!K107)</x:f>
        <x:v>33.66329074803279</x:v>
      </x:c>
    </x:row>
    <x:row r="127" ht="22" customHeight="1">
      <x:c r="A127" s="20" t="d">
        <x:v>2018-06-01T00:00:00.000Z</x:v>
      </x:c>
      <x:c r="B127" s="19" t="n">
        <x:f>200*('Месяцы_рынки'!C120-'Месяцы_рынки'!C108)/('Месяцы_рынки'!C120+'Месяцы_рынки'!C108)</x:f>
        <x:v>41.91192349534809</x:v>
      </x:c>
      <x:c r="C127" s="19" t="n">
        <x:f>200*('Месяцы_рынки'!D120-'Месяцы_рынки'!D108)/('Месяцы_рынки'!D120+'Месяцы_рынки'!D108)</x:f>
        <x:v>36.21230061555273</x:v>
      </x:c>
      <x:c r="D127" s="19" t="n">
        <x:f>200*('Месяцы_рынки'!E120-'Месяцы_рынки'!E108)/('Месяцы_рынки'!E120+'Месяцы_рынки'!E108)</x:f>
        <x:v>29.59605680509454</x:v>
      </x:c>
      <x:c r="E127" s="19" t="n">
        <x:f>200*('Месяцы_рынки'!F120-'Месяцы_рынки'!F108)/('Месяцы_рынки'!F120+'Месяцы_рынки'!F108)</x:f>
        <x:v>-19.654135401255445</x:v>
      </x:c>
      <x:c r="F127" s="19" t="n">
        <x:f>200*('Месяцы_рынки'!G120-'Месяцы_рынки'!G108)/('Месяцы_рынки'!G120+'Месяцы_рынки'!G108)</x:f>
        <x:v>-13.072503159491342</x:v>
      </x:c>
      <x:c r="G127" s="19" t="n">
        <x:f>200*('Месяцы_рынки'!H120-'Месяцы_рынки'!H108)/('Месяцы_рынки'!H120+'Месяцы_рынки'!H108)</x:f>
        <x:v>32.6211643669159</x:v>
      </x:c>
      <x:c r="H127" s="19" t="n">
        <x:f>200*('Месяцы_рынки'!I120-'Месяцы_рынки'!I108)/('Месяцы_рынки'!I120+'Месяцы_рынки'!I108)</x:f>
        <x:v>104.13558428969112</x:v>
      </x:c>
      <x:c r="I127" s="19" t="n">
        <x:f>200*('Месяцы_рынки'!J120-'Месяцы_рынки'!J108)/('Месяцы_рынки'!J120+'Месяцы_рынки'!J108)</x:f>
        <x:v>-3.6854662004991514</x:v>
      </x:c>
      <x:c r="J127" s="19" t="n">
        <x:f>200*('Месяцы_рынки'!K120-'Месяцы_рынки'!K108)/('Месяцы_рынки'!K120+'Месяцы_рынки'!K108)</x:f>
        <x:v>27.29403809306698</x:v>
      </x:c>
    </x:row>
    <x:row r="128" ht="22" customHeight="1">
      <x:c r="A128" s="20" t="d">
        <x:v>2018-07-01T00:00:00.000Z</x:v>
      </x:c>
      <x:c r="B128" s="19" t="n">
        <x:f>200*('Месяцы_рынки'!C121-'Месяцы_рынки'!C109)/('Месяцы_рынки'!C121+'Месяцы_рынки'!C109)</x:f>
        <x:v>29.95937283093234</x:v>
      </x:c>
      <x:c r="C128" s="19" t="n">
        <x:f>200*('Месяцы_рынки'!D121-'Месяцы_рынки'!D109)/('Месяцы_рынки'!D121+'Месяцы_рынки'!D109)</x:f>
        <x:v>42.856381466918535</x:v>
      </x:c>
      <x:c r="D128" s="19" t="n">
        <x:f>200*('Месяцы_рынки'!E121-'Месяцы_рынки'!E109)/('Месяцы_рынки'!E121+'Месяцы_рынки'!E109)</x:f>
        <x:v>18.54232441254297</x:v>
      </x:c>
      <x:c r="E128" s="19" t="n">
        <x:f>200*('Месяцы_рынки'!F121-'Месяцы_рынки'!F109)/('Месяцы_рынки'!F121+'Месяцы_рынки'!F109)</x:f>
        <x:v>-7.782042950900846</x:v>
      </x:c>
      <x:c r="F128" s="19" t="n">
        <x:f>200*('Месяцы_рынки'!G121-'Месяцы_рынки'!G109)/('Месяцы_рынки'!G121+'Месяцы_рынки'!G109)</x:f>
        <x:v>-28.58632966098834</x:v>
      </x:c>
      <x:c r="G128" s="19" t="n">
        <x:f>200*('Месяцы_рынки'!H121-'Месяцы_рынки'!H109)/('Месяцы_рынки'!H121+'Месяцы_рынки'!H109)</x:f>
        <x:v>31.135024362408654</x:v>
      </x:c>
      <x:c r="H128" s="19" t="n">
        <x:f>200*('Месяцы_рынки'!I121-'Месяцы_рынки'!I109)/('Месяцы_рынки'!I121+'Месяцы_рынки'!I109)</x:f>
        <x:v>68.78226920802248</x:v>
      </x:c>
      <x:c r="I128" s="19" t="n">
        <x:f>200*('Месяцы_рынки'!J121-'Месяцы_рынки'!J109)/('Месяцы_рынки'!J121+'Месяцы_рынки'!J109)</x:f>
        <x:v>17.09992052082186</x:v>
      </x:c>
      <x:c r="J128" s="19" t="n">
        <x:f>200*('Месяцы_рынки'!K121-'Месяцы_рынки'!K109)/('Месяцы_рынки'!K121+'Месяцы_рынки'!K109)</x:f>
        <x:v>11.07823770324468</x:v>
      </x:c>
    </x:row>
    <x:row r="129" ht="22" customHeight="1">
      <x:c r="A129" s="20" t="d">
        <x:v>2018-08-01T00:00:00.000Z</x:v>
      </x:c>
      <x:c r="B129" s="19" t="n">
        <x:f>200*('Месяцы_рынки'!C122-'Месяцы_рынки'!C110)/('Месяцы_рынки'!C122+'Месяцы_рынки'!C110)</x:f>
        <x:v>27.84290526692222</x:v>
      </x:c>
      <x:c r="C129" s="19" t="n">
        <x:f>200*('Месяцы_рынки'!D122-'Месяцы_рынки'!D110)/('Месяцы_рынки'!D122+'Месяцы_рынки'!D110)</x:f>
        <x:v>32.5434931040091</x:v>
      </x:c>
      <x:c r="D129" s="19" t="n">
        <x:f>200*('Месяцы_рынки'!E122-'Месяцы_рынки'!E110)/('Месяцы_рынки'!E122+'Месяцы_рынки'!E110)</x:f>
        <x:v>43.730899287217</x:v>
      </x:c>
      <x:c r="E129" s="19" t="n">
        <x:f>200*('Месяцы_рынки'!F122-'Месяцы_рынки'!F110)/('Месяцы_рынки'!F122+'Месяцы_рынки'!F110)</x:f>
        <x:v>26.245981828248713</x:v>
      </x:c>
      <x:c r="F129" s="19" t="n">
        <x:f>200*('Месяцы_рынки'!G122-'Месяцы_рынки'!G110)/('Месяцы_рынки'!G122+'Месяцы_рынки'!G110)</x:f>
        <x:v>-27.991790136136533</x:v>
      </x:c>
      <x:c r="G129" s="19" t="n">
        <x:f>200*('Месяцы_рынки'!H122-'Месяцы_рынки'!H110)/('Месяцы_рынки'!H122+'Месяцы_рынки'!H110)</x:f>
        <x:v>22.508830004204142</x:v>
      </x:c>
      <x:c r="H129" s="19" t="n">
        <x:f>200*('Месяцы_рынки'!I122-'Месяцы_рынки'!I110)/('Месяцы_рынки'!I122+'Месяцы_рынки'!I110)</x:f>
        <x:v>110.77377528251908</x:v>
      </x:c>
      <x:c r="I129" s="19" t="n">
        <x:f>200*('Месяцы_рынки'!J122-'Месяцы_рынки'!J110)/('Месяцы_рынки'!J122+'Месяцы_рынки'!J110)</x:f>
        <x:v>-22.34950690950459</x:v>
      </x:c>
      <x:c r="J129" s="19" t="n">
        <x:f>200*('Месяцы_рынки'!K122-'Месяцы_рынки'!K110)/('Месяцы_рынки'!K122+'Месяцы_рынки'!K110)</x:f>
        <x:v>15.250256770230363</x:v>
      </x:c>
    </x:row>
    <x:row r="130" ht="22" customHeight="1">
      <x:c r="A130" s="20" t="d">
        <x:v>2018-09-01T00:00:00.000Z</x:v>
      </x:c>
      <x:c r="B130" s="19" t="n">
        <x:f>200*('Месяцы_рынки'!C123-'Месяцы_рынки'!C111)/('Месяцы_рынки'!C123+'Месяцы_рынки'!C111)</x:f>
        <x:v>31.95450071895159</x:v>
      </x:c>
      <x:c r="C130" s="19" t="n">
        <x:f>200*('Месяцы_рынки'!D123-'Месяцы_рынки'!D111)/('Месяцы_рынки'!D123+'Месяцы_рынки'!D111)</x:f>
        <x:v>28.145675058840762</x:v>
      </x:c>
      <x:c r="D130" s="19" t="n">
        <x:f>200*('Месяцы_рынки'!E123-'Месяцы_рынки'!E111)/('Месяцы_рынки'!E123+'Месяцы_рынки'!E111)</x:f>
        <x:v>51.31448678687384</x:v>
      </x:c>
      <x:c r="E130" s="19" t="n">
        <x:f>200*('Месяцы_рынки'!F123-'Месяцы_рынки'!F111)/('Месяцы_рынки'!F123+'Месяцы_рынки'!F111)</x:f>
        <x:v>-13.69475407025419</x:v>
      </x:c>
      <x:c r="F130" s="19" t="n">
        <x:f>200*('Месяцы_рынки'!G123-'Месяцы_рынки'!G111)/('Месяцы_рынки'!G123+'Месяцы_рынки'!G111)</x:f>
        <x:v>-30.385057506065067</x:v>
      </x:c>
      <x:c r="G130" s="19" t="n">
        <x:f>200*('Месяцы_рынки'!H123-'Месяцы_рынки'!H111)/('Месяцы_рынки'!H123+'Месяцы_рынки'!H111)</x:f>
        <x:v>22.527656130714366</x:v>
      </x:c>
      <x:c r="H130" s="19" t="n">
        <x:f>200*('Месяцы_рынки'!I123-'Месяцы_рынки'!I111)/('Месяцы_рынки'!I123+'Месяцы_рынки'!I111)</x:f>
        <x:v>124.72280841732854</x:v>
      </x:c>
      <x:c r="I130" s="19" t="n">
        <x:f>200*('Месяцы_рынки'!J123-'Месяцы_рынки'!J111)/('Месяцы_рынки'!J123+'Месяцы_рынки'!J111)</x:f>
        <x:v>-45.56127104382249</x:v>
      </x:c>
      <x:c r="J130" s="19" t="n">
        <x:f>200*('Месяцы_рынки'!K123-'Месяцы_рынки'!K111)/('Месяцы_рынки'!K123+'Месяцы_рынки'!K111)</x:f>
        <x:v>32.5567991004825</x:v>
      </x:c>
    </x:row>
    <x:row r="131" ht="22" customHeight="1">
      <x:c r="A131" s="20" t="d">
        <x:v>2018-10-01T00:00:00.000Z</x:v>
      </x:c>
      <x:c r="B131" s="19" t="n">
        <x:f>200*('Месяцы_рынки'!C124-'Месяцы_рынки'!C112)/('Месяцы_рынки'!C124+'Месяцы_рынки'!C112)</x:f>
        <x:v>7.630888557582163</x:v>
      </x:c>
      <x:c r="C131" s="19" t="n">
        <x:f>200*('Месяцы_рынки'!D124-'Месяцы_рынки'!D112)/('Месяцы_рынки'!D124+'Месяцы_рынки'!D112)</x:f>
        <x:v>9.860238625267584</x:v>
      </x:c>
      <x:c r="D131" s="19" t="n">
        <x:f>200*('Месяцы_рынки'!E124-'Месяцы_рынки'!E112)/('Месяцы_рынки'!E124+'Месяцы_рынки'!E112)</x:f>
        <x:v>92.44513223925536</x:v>
      </x:c>
      <x:c r="E131" s="19" t="n">
        <x:f>200*('Месяцы_рынки'!F124-'Месяцы_рынки'!F112)/('Месяцы_рынки'!F124+'Месяцы_рынки'!F112)</x:f>
        <x:v>20.151201111609655</x:v>
      </x:c>
      <x:c r="F131" s="19" t="n">
        <x:f>200*('Месяцы_рынки'!G124-'Месяцы_рынки'!G112)/('Месяцы_рынки'!G124+'Месяцы_рынки'!G112)</x:f>
        <x:v>-18.201350266051193</x:v>
      </x:c>
      <x:c r="G131" s="19" t="n">
        <x:f>200*('Месяцы_рынки'!H124-'Месяцы_рынки'!H112)/('Месяцы_рынки'!H124+'Месяцы_рынки'!H112)</x:f>
        <x:v>21.032083342204793</x:v>
      </x:c>
      <x:c r="H131" s="19" t="n">
        <x:f>200*('Месяцы_рынки'!I124-'Месяцы_рынки'!I112)/('Месяцы_рынки'!I124+'Месяцы_рынки'!I112)</x:f>
        <x:v>132.55842773269768</x:v>
      </x:c>
      <x:c r="I131" s="19" t="n">
        <x:f>200*('Месяцы_рынки'!J124-'Месяцы_рынки'!J112)/('Месяцы_рынки'!J124+'Месяцы_рынки'!J112)</x:f>
        <x:v>-16.780918817301714</x:v>
      </x:c>
      <x:c r="J131" s="19" t="n">
        <x:f>200*('Месяцы_рынки'!K124-'Месяцы_рынки'!K112)/('Месяцы_рынки'!K124+'Месяцы_рынки'!K112)</x:f>
        <x:v>28.355119695735755</x:v>
      </x:c>
    </x:row>
    <x:row r="132" ht="22" customHeight="1">
      <x:c r="A132" s="20" t="d">
        <x:v>2018-11-01T00:00:00.000Z</x:v>
      </x:c>
      <x:c r="B132" s="19" t="n">
        <x:f>200*('Месяцы_рынки'!C125-'Месяцы_рынки'!C113)/('Месяцы_рынки'!C125+'Месяцы_рынки'!C113)</x:f>
        <x:v>-3.7233457800154413</x:v>
      </x:c>
      <x:c r="C132" s="19" t="n">
        <x:f>200*('Месяцы_рынки'!D125-'Месяцы_рынки'!D113)/('Месяцы_рынки'!D125+'Месяцы_рынки'!D113)</x:f>
        <x:v>-17.908638896240515</x:v>
      </x:c>
      <x:c r="D132" s="19" t="n">
        <x:f>200*('Месяцы_рынки'!E125-'Месяцы_рынки'!E113)/('Месяцы_рынки'!E125+'Месяцы_рынки'!E113)</x:f>
        <x:v>84.15095096000198</x:v>
      </x:c>
      <x:c r="E132" s="19" t="n">
        <x:f>200*('Месяцы_рынки'!F125-'Месяцы_рынки'!F113)/('Месяцы_рынки'!F125+'Месяцы_рынки'!F113)</x:f>
        <x:v>24.720295309481536</x:v>
      </x:c>
      <x:c r="F132" s="19" t="n">
        <x:f>200*('Месяцы_рынки'!G125-'Месяцы_рынки'!G113)/('Месяцы_рынки'!G125+'Месяцы_рынки'!G113)</x:f>
        <x:v>-34.95939764572168</x:v>
      </x:c>
      <x:c r="G132" s="19" t="n">
        <x:f>200*('Месяцы_рынки'!H125-'Месяцы_рынки'!H113)/('Месяцы_рынки'!H125+'Месяцы_рынки'!H113)</x:f>
        <x:v>22.162519994910973</x:v>
      </x:c>
      <x:c r="H132" s="19" t="n">
        <x:f>200*('Месяцы_рынки'!I125-'Месяцы_рынки'!I113)/('Месяцы_рынки'!I125+'Месяцы_рынки'!I113)</x:f>
        <x:v>118.18382922334982</x:v>
      </x:c>
      <x:c r="I132" s="19" t="n">
        <x:f>200*('Месяцы_рынки'!J125-'Месяцы_рынки'!J113)/('Месяцы_рынки'!J125+'Месяцы_рынки'!J113)</x:f>
        <x:v>-43.944546550297254</x:v>
      </x:c>
      <x:c r="J132" s="19" t="n">
        <x:f>200*('Месяцы_рынки'!K125-'Месяцы_рынки'!K113)/('Месяцы_рынки'!K125+'Месяцы_рынки'!K113)</x:f>
        <x:v>8.919621312537215</x:v>
      </x:c>
    </x:row>
    <x:row r="133" ht="22" customHeight="1">
      <x:c r="A133" s="20" t="d">
        <x:v>2018-12-01T00:00:00.000Z</x:v>
      </x:c>
      <x:c r="B133" s="19" t="n">
        <x:f>200*('Месяцы_рынки'!C126-'Месяцы_рынки'!C114)/('Месяцы_рынки'!C126+'Месяцы_рынки'!C114)</x:f>
        <x:v>-29.695622037908468</x:v>
      </x:c>
      <x:c r="C133" s="19" t="n">
        <x:f>200*('Месяцы_рынки'!D126-'Месяцы_рынки'!D114)/('Месяцы_рынки'!D126+'Месяцы_рынки'!D114)</x:f>
        <x:v>-29.507092441530986</x:v>
      </x:c>
      <x:c r="D133" s="19" t="n">
        <x:f>200*('Месяцы_рынки'!E126-'Месяцы_рынки'!E114)/('Месяцы_рынки'!E126+'Месяцы_рынки'!E114)</x:f>
        <x:v>43.33850600082357</x:v>
      </x:c>
      <x:c r="E133" s="19" t="n">
        <x:f>200*('Месяцы_рынки'!F126-'Месяцы_рынки'!F114)/('Месяцы_рынки'!F126+'Месяцы_рынки'!F114)</x:f>
        <x:v>1.3720233161909625</x:v>
      </x:c>
      <x:c r="F133" s="19" t="n">
        <x:f>200*('Месяцы_рынки'!G126-'Месяцы_рынки'!G114)/('Месяцы_рынки'!G126+'Месяцы_рынки'!G114)</x:f>
        <x:v>-12.187183056780203</x:v>
      </x:c>
      <x:c r="G133" s="19" t="n">
        <x:f>200*('Месяцы_рынки'!H126-'Месяцы_рынки'!H114)/('Месяцы_рынки'!H126+'Месяцы_рынки'!H114)</x:f>
        <x:v>-61.03519439663473</x:v>
      </x:c>
      <x:c r="H133" s="19" t="n">
        <x:f>200*('Месяцы_рынки'!I126-'Месяцы_рынки'!I114)/('Месяцы_рынки'!I126+'Месяцы_рынки'!I114)</x:f>
        <x:v>123.50200940413042</x:v>
      </x:c>
      <x:c r="I133" s="19" t="n">
        <x:f>200*('Месяцы_рынки'!J126-'Месяцы_рынки'!J114)/('Месяцы_рынки'!J126+'Месяцы_рынки'!J114)</x:f>
        <x:v>-52.58482116032759</x:v>
      </x:c>
      <x:c r="J133" s="19" t="n">
        <x:f>200*('Месяцы_рынки'!K126-'Месяцы_рынки'!K114)/('Месяцы_рынки'!K126+'Месяцы_рынки'!K114)</x:f>
        <x:v>2.674683281304394</x:v>
      </x:c>
    </x:row>
    <x:row r="134" ht="22" customHeight="1">
      <x:c r="A134" s="20" t="d">
        <x:v>2019-01-01T00:00:00.000Z</x:v>
      </x:c>
      <x:c r="B134" s="19" t="n">
        <x:f>200*('Месяцы_рынки'!C127-'Месяцы_рынки'!C115)/('Месяцы_рынки'!C127+'Месяцы_рынки'!C115)</x:f>
        <x:v>-47.48188906803602</x:v>
      </x:c>
      <x:c r="C134" s="19" t="n">
        <x:f>200*('Месяцы_рынки'!D127-'Месяцы_рынки'!D115)/('Месяцы_рынки'!D127+'Месяцы_рынки'!D115)</x:f>
        <x:v>-55.39488223364882</x:v>
      </x:c>
      <x:c r="D134" s="19" t="n">
        <x:f>200*('Месяцы_рынки'!E127-'Месяцы_рынки'!E115)/('Месяцы_рынки'!E127+'Месяцы_рынки'!E115)</x:f>
        <x:v>31.125395262455186</x:v>
      </x:c>
      <x:c r="E134" s="19" t="n">
        <x:f>200*('Месяцы_рынки'!F127-'Месяцы_рынки'!F115)/('Месяцы_рынки'!F127+'Месяцы_рынки'!F115)</x:f>
        <x:v>2.2654088421820706</x:v>
      </x:c>
      <x:c r="F134" s="19" t="n">
        <x:f>200*('Месяцы_рынки'!G127-'Месяцы_рынки'!G115)/('Месяцы_рынки'!G127+'Месяцы_рынки'!G115)</x:f>
        <x:v>-16.802395511354458</x:v>
      </x:c>
      <x:c r="G134" s="19" t="n">
        <x:f>200*('Месяцы_рынки'!H127-'Месяцы_рынки'!H115)/('Месяцы_рынки'!H127+'Месяцы_рынки'!H115)</x:f>
        <x:v>-25.012851830242578</x:v>
      </x:c>
      <x:c r="H134" s="19" t="n">
        <x:f>200*('Месяцы_рынки'!I127-'Месяцы_рынки'!I115)/('Месяцы_рынки'!I127+'Месяцы_рынки'!I115)</x:f>
        <x:v>91.10274963387825</x:v>
      </x:c>
      <x:c r="I134" s="19" t="n">
        <x:f>200*('Месяцы_рынки'!J127-'Месяцы_рынки'!J115)/('Месяцы_рынки'!J127+'Месяцы_рынки'!J115)</x:f>
        <x:v>-17.495085535895626</x:v>
      </x:c>
      <x:c r="J134" s="19" t="n">
        <x:f>200*('Месяцы_рынки'!K127-'Месяцы_рынки'!K115)/('Месяцы_рынки'!K127+'Месяцы_рынки'!K115)</x:f>
        <x:v>2.421803008139098</x:v>
      </x:c>
    </x:row>
    <x:row r="135" ht="22" customHeight="1">
      <x:c r="A135" s="20" t="d">
        <x:v>2019-02-01T00:00:00.000Z</x:v>
      </x:c>
      <x:c r="B135" s="19" t="n">
        <x:f>200*('Месяцы_рынки'!C128-'Месяцы_рынки'!C116)/('Месяцы_рынки'!C128+'Месяцы_рынки'!C116)</x:f>
        <x:v>-52.73416798301292</x:v>
      </x:c>
      <x:c r="C135" s="19" t="n">
        <x:f>200*('Месяцы_рынки'!D128-'Месяцы_рынки'!D116)/('Месяцы_рынки'!D128+'Месяцы_рынки'!D116)</x:f>
        <x:v>-32.710695588800874</x:v>
      </x:c>
      <x:c r="D135" s="19" t="n">
        <x:f>200*('Месяцы_рынки'!E128-'Месяцы_рынки'!E116)/('Месяцы_рынки'!E128+'Месяцы_рынки'!E116)</x:f>
        <x:v>-13.04579695897198</x:v>
      </x:c>
      <x:c r="E135" s="19" t="n">
        <x:f>200*('Месяцы_рынки'!F128-'Месяцы_рынки'!F116)/('Месяцы_рынки'!F128+'Месяцы_рынки'!F116)</x:f>
        <x:v>-2.621998490498596</x:v>
      </x:c>
      <x:c r="F135" s="19" t="n">
        <x:f>200*('Месяцы_рынки'!G128-'Месяцы_рынки'!G116)/('Месяцы_рынки'!G128+'Месяцы_рынки'!G116)</x:f>
        <x:v>1.0712267328381302</x:v>
      </x:c>
      <x:c r="G135" s="19" t="n">
        <x:f>200*('Месяцы_рынки'!H128-'Месяцы_рынки'!H116)/('Месяцы_рынки'!H128+'Месяцы_рынки'!H116)</x:f>
        <x:v>-71.8060889342413</x:v>
      </x:c>
      <x:c r="H135" s="19" t="n">
        <x:f>200*('Месяцы_рынки'!I128-'Месяцы_рынки'!I116)/('Месяцы_рынки'!I128+'Месяцы_рынки'!I116)</x:f>
        <x:v>63.07076834327478</x:v>
      </x:c>
      <x:c r="I135" s="19" t="n">
        <x:f>200*('Месяцы_рынки'!J128-'Месяцы_рынки'!J116)/('Месяцы_рынки'!J128+'Месяцы_рынки'!J116)</x:f>
        <x:v>13.34062819992919</x:v>
      </x:c>
      <x:c r="J135" s="19" t="n">
        <x:f>200*('Месяцы_рынки'!K128-'Месяцы_рынки'!K116)/('Месяцы_рынки'!K128+'Месяцы_рынки'!K116)</x:f>
        <x:v>-5.174508195918264</x:v>
      </x:c>
    </x:row>
    <x:row r="136" ht="22" customHeight="1">
      <x:c r="A136" s="20" t="d">
        <x:v>2019-03-01T00:00:00.000Z</x:v>
      </x:c>
      <x:c r="B136" s="19" t="n">
        <x:f>200*('Месяцы_рынки'!C129-'Месяцы_рынки'!C117)/('Месяцы_рынки'!C129+'Месяцы_рынки'!C117)</x:f>
        <x:v>-30.112485021043103</x:v>
      </x:c>
      <x:c r="C136" s="19" t="n">
        <x:f>200*('Месяцы_рынки'!D129-'Месяцы_рынки'!D117)/('Месяцы_рынки'!D129+'Месяцы_рынки'!D117)</x:f>
        <x:v>-23.646303507051236</x:v>
      </x:c>
      <x:c r="D136" s="19" t="n">
        <x:f>200*('Месяцы_рынки'!E129-'Месяцы_рынки'!E117)/('Месяцы_рынки'!E129+'Месяцы_рынки'!E117)</x:f>
        <x:v>-42.540875806439104</x:v>
      </x:c>
      <x:c r="E136" s="19" t="n">
        <x:f>200*('Месяцы_рынки'!F129-'Месяцы_рынки'!F117)/('Месяцы_рынки'!F129+'Месяцы_рынки'!F117)</x:f>
        <x:v>-5.52961177030843</x:v>
      </x:c>
      <x:c r="F136" s="19" t="n">
        <x:f>200*('Месяцы_рынки'!G129-'Месяцы_рынки'!G117)/('Месяцы_рынки'!G129+'Месяцы_рынки'!G117)</x:f>
        <x:v>4.8722732074342465</x:v>
      </x:c>
      <x:c r="G136" s="19" t="n">
        <x:f>200*('Месяцы_рынки'!H129-'Месяцы_рынки'!H117)/('Месяцы_рынки'!H129+'Месяцы_рынки'!H117)</x:f>
        <x:v>-71.24849357433665</x:v>
      </x:c>
      <x:c r="H136" s="19" t="n">
        <x:f>200*('Месяцы_рынки'!I129-'Месяцы_рынки'!I117)/('Месяцы_рынки'!I129+'Месяцы_рынки'!I117)</x:f>
        <x:v>-17.449854953612252</x:v>
      </x:c>
      <x:c r="I136" s="19" t="n">
        <x:f>200*('Месяцы_рынки'!J129-'Месяцы_рынки'!J117)/('Месяцы_рынки'!J129+'Месяцы_рынки'!J117)</x:f>
        <x:v>-8.394908334975828</x:v>
      </x:c>
      <x:c r="J136" s="19" t="n">
        <x:f>200*('Месяцы_рынки'!K129-'Месяцы_рынки'!K117)/('Месяцы_рынки'!K129+'Месяцы_рынки'!K117)</x:f>
        <x:v>-13.547390924967736</x:v>
      </x:c>
    </x:row>
    <x:row r="137" ht="22" customHeight="1">
      <x:c r="A137" s="20" t="d">
        <x:v>2019-04-01T00:00:00.000Z</x:v>
      </x:c>
      <x:c r="B137" s="19" t="n">
        <x:f>200*('Месяцы_рынки'!C130-'Месяцы_рынки'!C118)/('Месяцы_рынки'!C130+'Месяцы_рынки'!C118)</x:f>
        <x:v>-7.850845283730487</x:v>
      </x:c>
      <x:c r="C137" s="19" t="n">
        <x:f>200*('Месяцы_рынки'!D130-'Месяцы_рынки'!D118)/('Месяцы_рынки'!D130+'Месяцы_рынки'!D118)</x:f>
        <x:v>-38.06199737860701</x:v>
      </x:c>
      <x:c r="D137" s="19" t="n">
        <x:f>200*('Месяцы_рынки'!E130-'Месяцы_рынки'!E118)/('Месяцы_рынки'!E130+'Месяцы_рынки'!E118)</x:f>
        <x:v>-48.645401483770534</x:v>
      </x:c>
      <x:c r="E137" s="19" t="n">
        <x:f>200*('Месяцы_рынки'!F130-'Месяцы_рынки'!F118)/('Месяцы_рынки'!F130+'Месяцы_рынки'!F118)</x:f>
        <x:v>20.76708817164863</x:v>
      </x:c>
      <x:c r="F137" s="19" t="n">
        <x:f>200*('Месяцы_рынки'!G130-'Месяцы_рынки'!G118)/('Месяцы_рынки'!G130+'Месяцы_рынки'!G118)</x:f>
        <x:v>-47.91848210157396</x:v>
      </x:c>
      <x:c r="G137" s="19" t="n">
        <x:f>200*('Месяцы_рынки'!H130-'Месяцы_рынки'!H118)/('Месяцы_рынки'!H130+'Месяцы_рынки'!H118)</x:f>
        <x:v>-60.62473411773374</x:v>
      </x:c>
      <x:c r="H137" s="19" t="n">
        <x:f>200*('Месяцы_рынки'!I130-'Месяцы_рынки'!I118)/('Месяцы_рынки'!I130+'Месяцы_рынки'!I118)</x:f>
        <x:v>19.8076079283507</x:v>
      </x:c>
      <x:c r="I137" s="19" t="n">
        <x:f>200*('Месяцы_рынки'!J130-'Месяцы_рынки'!J118)/('Месяцы_рынки'!J130+'Месяцы_рынки'!J118)</x:f>
        <x:v>-43.00715697147443</x:v>
      </x:c>
      <x:c r="J137" s="19" t="n">
        <x:f>200*('Месяцы_рынки'!K130-'Месяцы_рынки'!K118)/('Месяцы_рынки'!K130+'Месяцы_рынки'!K118)</x:f>
        <x:v>-8.490524607861202</x:v>
      </x:c>
    </x:row>
    <x:row r="138" ht="22" customHeight="1">
      <x:c r="A138" s="20" t="d">
        <x:v>2019-05-01T00:00:00.000Z</x:v>
      </x:c>
      <x:c r="B138" s="19" t="n">
        <x:f>200*('Месяцы_рынки'!C131-'Месяцы_рынки'!C119)/('Месяцы_рынки'!C131+'Месяцы_рынки'!C119)</x:f>
        <x:v>-50.937991110026076</x:v>
      </x:c>
      <x:c r="C138" s="19" t="n">
        <x:f>200*('Месяцы_рынки'!D131-'Месяцы_рынки'!D119)/('Месяцы_рынки'!D131+'Месяцы_рынки'!D119)</x:f>
        <x:v>-41.25680434682594</x:v>
      </x:c>
      <x:c r="D138" s="19" t="n">
        <x:f>200*('Месяцы_рынки'!E131-'Месяцы_рынки'!E119)/('Месяцы_рынки'!E131+'Месяцы_рынки'!E119)</x:f>
        <x:v>-49.541745741709896</x:v>
      </x:c>
      <x:c r="E138" s="19" t="n">
        <x:f>200*('Месяцы_рынки'!F131-'Месяцы_рынки'!F119)/('Месяцы_рынки'!F131+'Месяцы_рынки'!F119)</x:f>
        <x:v>-16.352112260576188</x:v>
      </x:c>
      <x:c r="F138" s="19" t="n">
        <x:f>200*('Месяцы_рынки'!G131-'Месяцы_рынки'!G119)/('Месяцы_рынки'!G131+'Месяцы_рынки'!G119)</x:f>
        <x:v>-11.749876646452142</x:v>
      </x:c>
      <x:c r="G138" s="19" t="n">
        <x:f>200*('Месяцы_рынки'!H131-'Месяцы_рынки'!H119)/('Месяцы_рынки'!H131+'Месяцы_рынки'!H119)</x:f>
        <x:v>-63.854586797209635</x:v>
      </x:c>
      <x:c r="H138" s="19" t="n">
        <x:f>200*('Месяцы_рынки'!I131-'Месяцы_рынки'!I119)/('Месяцы_рынки'!I131+'Месяцы_рынки'!I119)</x:f>
        <x:v>21.316259846456152</x:v>
      </x:c>
      <x:c r="I138" s="19" t="n">
        <x:f>200*('Месяцы_рынки'!J131-'Месяцы_рынки'!J119)/('Месяцы_рынки'!J131+'Месяцы_рынки'!J119)</x:f>
        <x:v>-35.75433920462527</x:v>
      </x:c>
      <x:c r="J138" s="19" t="n">
        <x:f>200*('Месяцы_рынки'!K131-'Месяцы_рынки'!K119)/('Месяцы_рынки'!K131+'Месяцы_рынки'!K119)</x:f>
        <x:v>-9.480569949416564</x:v>
      </x:c>
    </x:row>
    <x:row r="139" ht="22" customHeight="1">
      <x:c r="A139" s="20" t="d">
        <x:v>2019-06-01T00:00:00.000Z</x:v>
      </x:c>
      <x:c r="B139" s="19" t="n">
        <x:f>200*('Месяцы_рынки'!C132-'Месяцы_рынки'!C120)/('Месяцы_рынки'!C132+'Месяцы_рынки'!C120)</x:f>
        <x:v>-35.53557255257534</x:v>
      </x:c>
      <x:c r="C139" s="19" t="n">
        <x:f>200*('Месяцы_рынки'!D132-'Месяцы_рынки'!D120)/('Месяцы_рынки'!D132+'Месяцы_рынки'!D120)</x:f>
        <x:v>-45.568683889062825</x:v>
      </x:c>
      <x:c r="D139" s="19" t="n">
        <x:f>200*('Месяцы_рынки'!E132-'Месяцы_рынки'!E120)/('Месяцы_рынки'!E132+'Месяцы_рынки'!E120)</x:f>
        <x:v>-8.175535683444833</x:v>
      </x:c>
      <x:c r="E139" s="19" t="n">
        <x:f>200*('Месяцы_рынки'!F132-'Месяцы_рынки'!F120)/('Месяцы_рынки'!F132+'Месяцы_рынки'!F120)</x:f>
        <x:v>18.24829424992416</x:v>
      </x:c>
      <x:c r="F139" s="19" t="n">
        <x:f>200*('Месяцы_рынки'!G132-'Месяцы_рынки'!G120)/('Месяцы_рынки'!G132+'Месяцы_рынки'!G120)</x:f>
        <x:v>-30.335331177967007</x:v>
      </x:c>
      <x:c r="G139" s="19" t="n">
        <x:f>200*('Месяцы_рынки'!H132-'Месяцы_рынки'!H120)/('Месяцы_рынки'!H132+'Месяцы_рынки'!H120)</x:f>
        <x:v>-59.4495870822223</x:v>
      </x:c>
      <x:c r="H139" s="19" t="n">
        <x:f>200*('Месяцы_рынки'!I132-'Месяцы_рынки'!I120)/('Месяцы_рынки'!I132+'Месяцы_рынки'!I120)</x:f>
        <x:v>-9.125648242815485</x:v>
      </x:c>
      <x:c r="I139" s="19" t="n">
        <x:f>200*('Месяцы_рынки'!J132-'Месяцы_рынки'!J120)/('Месяцы_рынки'!J132+'Месяцы_рынки'!J120)</x:f>
        <x:v>-12.710053297964842</x:v>
      </x:c>
      <x:c r="J139" s="19" t="n">
        <x:f>200*('Месяцы_рынки'!K132-'Месяцы_рынки'!K120)/('Месяцы_рынки'!K132+'Месяцы_рынки'!K120)</x:f>
        <x:v>-15.362056996046686</x:v>
      </x:c>
    </x:row>
    <x:row r="140" ht="22" customHeight="1">
      <x:c r="A140" s="20" t="d">
        <x:v>2019-07-01T00:00:00.000Z</x:v>
      </x:c>
      <x:c r="B140" s="19" t="n">
        <x:f>200*('Месяцы_рынки'!C133-'Месяцы_рынки'!C121)/('Месяцы_рынки'!C133+'Месяцы_рынки'!C121)</x:f>
        <x:v>-36.667834147074814</x:v>
      </x:c>
      <x:c r="C140" s="19" t="n">
        <x:f>200*('Месяцы_рынки'!D133-'Месяцы_рынки'!D121)/('Месяцы_рынки'!D133+'Месяцы_рынки'!D121)</x:f>
        <x:v>-58.08181425421835</x:v>
      </x:c>
      <x:c r="D140" s="19" t="n">
        <x:f>200*('Месяцы_рынки'!E133-'Месяцы_рынки'!E121)/('Месяцы_рынки'!E133+'Месяцы_рынки'!E121)</x:f>
        <x:v>-38.72091794300816</x:v>
      </x:c>
      <x:c r="E140" s="19" t="n">
        <x:f>200*('Месяцы_рынки'!F133-'Месяцы_рынки'!F121)/('Месяцы_рынки'!F133+'Месяцы_рынки'!F121)</x:f>
        <x:v>23.96515096004769</x:v>
      </x:c>
      <x:c r="F140" s="19" t="n">
        <x:f>200*('Месяцы_рынки'!G133-'Месяцы_рынки'!G121)/('Месяцы_рынки'!G133+'Месяцы_рынки'!G121)</x:f>
        <x:v>-20.36426092397997</x:v>
      </x:c>
      <x:c r="G140" s="19" t="n">
        <x:f>200*('Месяцы_рынки'!H133-'Месяцы_рынки'!H121)/('Месяцы_рынки'!H133+'Месяцы_рынки'!H121)</x:f>
        <x:v>-66.62518317429935</x:v>
      </x:c>
      <x:c r="H140" s="19" t="n">
        <x:f>200*('Месяцы_рынки'!I133-'Месяцы_рынки'!I121)/('Месяцы_рынки'!I133+'Месяцы_рынки'!I121)</x:f>
        <x:v>-14.880153476065221</x:v>
      </x:c>
      <x:c r="I140" s="19" t="n">
        <x:f>200*('Месяцы_рынки'!J133-'Месяцы_рынки'!J121)/('Месяцы_рынки'!J133+'Месяцы_рынки'!J121)</x:f>
        <x:v>-49.037535952456935</x:v>
      </x:c>
      <x:c r="J140" s="19" t="n">
        <x:f>200*('Месяцы_рынки'!K133-'Месяцы_рынки'!K121)/('Месяцы_рынки'!K133+'Месяцы_рынки'!K121)</x:f>
        <x:v>10.201905717338935</x:v>
      </x:c>
    </x:row>
    <x:row r="141" ht="22" customHeight="1">
      <x:c r="A141" s="20" t="d">
        <x:v>2019-08-01T00:00:00.000Z</x:v>
      </x:c>
      <x:c r="B141" s="19" t="n">
        <x:f>200*('Месяцы_рынки'!C134-'Месяцы_рынки'!C122)/('Месяцы_рынки'!C134+'Месяцы_рынки'!C122)</x:f>
        <x:v>-37.031176993825184</x:v>
      </x:c>
      <x:c r="C141" s="19" t="n">
        <x:f>200*('Месяцы_рынки'!D134-'Месяцы_рынки'!D122)/('Месяцы_рынки'!D134+'Месяцы_рынки'!D122)</x:f>
        <x:v>-56.721694050155996</x:v>
      </x:c>
      <x:c r="D141" s="19" t="n">
        <x:f>200*('Месяцы_рынки'!E134-'Месяцы_рынки'!E122)/('Месяцы_рынки'!E134+'Месяцы_рынки'!E122)</x:f>
        <x:v>-79.60541145039414</x:v>
      </x:c>
      <x:c r="E141" s="19" t="n">
        <x:f>200*('Месяцы_рынки'!F134-'Месяцы_рынки'!F122)/('Месяцы_рынки'!F134+'Месяцы_рынки'!F122)</x:f>
        <x:v>7.743566303948627</x:v>
      </x:c>
      <x:c r="F141" s="19" t="n">
        <x:f>200*('Месяцы_рынки'!G134-'Месяцы_рынки'!G122)/('Месяцы_рынки'!G134+'Месяцы_рынки'!G122)</x:f>
        <x:v>-41.46402015861889</x:v>
      </x:c>
      <x:c r="G141" s="19" t="n">
        <x:f>200*('Месяцы_рынки'!H134-'Месяцы_рынки'!H122)/('Месяцы_рынки'!H134+'Месяцы_рынки'!H122)</x:f>
        <x:v>-80.44970649214136</x:v>
      </x:c>
      <x:c r="H141" s="19" t="n">
        <x:f>200*('Месяцы_рынки'!I134-'Месяцы_рынки'!I122)/('Месяцы_рынки'!I134+'Месяцы_рынки'!I122)</x:f>
        <x:v>-38.07148709943995</x:v>
      </x:c>
      <x:c r="I141" s="19" t="n">
        <x:f>200*('Месяцы_рынки'!J134-'Месяцы_рынки'!J122)/('Месяцы_рынки'!J134+'Месяцы_рынки'!J122)</x:f>
        <x:v>-27.933019793864986</x:v>
      </x:c>
      <x:c r="J141" s="19" t="n">
        <x:f>200*('Месяцы_рынки'!K134-'Месяцы_рынки'!K122)/('Месяцы_рынки'!K134+'Месяцы_рынки'!K122)</x:f>
        <x:v>4.846129136824796</x:v>
      </x:c>
    </x:row>
    <x:row r="142" ht="22" customHeight="1">
      <x:c r="A142" s="20" t="d">
        <x:v>2019-09-01T00:00:00.000Z</x:v>
      </x:c>
      <x:c r="B142" s="19" t="n">
        <x:f>200*('Месяцы_рынки'!C135-'Месяцы_рынки'!C123)/('Месяцы_рынки'!C135+'Месяцы_рынки'!C123)</x:f>
        <x:v>-47.22844639237403</x:v>
      </x:c>
      <x:c r="C142" s="19" t="n">
        <x:f>200*('Месяцы_рынки'!D135-'Месяцы_рынки'!D123)/('Месяцы_рынки'!D135+'Месяцы_рынки'!D123)</x:f>
        <x:v>-52.6165287674708</x:v>
      </x:c>
      <x:c r="D142" s="19" t="n">
        <x:f>200*('Месяцы_рынки'!E135-'Месяцы_рынки'!E123)/('Месяцы_рынки'!E135+'Месяцы_рынки'!E123)</x:f>
        <x:v>-50.71096176523433</x:v>
      </x:c>
      <x:c r="E142" s="19" t="n">
        <x:f>200*('Месяцы_рынки'!F135-'Месяцы_рынки'!F123)/('Месяцы_рынки'!F135+'Месяцы_рынки'!F123)</x:f>
        <x:v>6.036550166179816</x:v>
      </x:c>
      <x:c r="F142" s="19" t="n">
        <x:f>200*('Месяцы_рынки'!G135-'Месяцы_рынки'!G123)/('Месяцы_рынки'!G135+'Месяцы_рынки'!G123)</x:f>
        <x:v>-34.5891247016508</x:v>
      </x:c>
      <x:c r="G142" s="19" t="n">
        <x:f>200*('Месяцы_рынки'!H135-'Месяцы_рынки'!H123)/('Месяцы_рынки'!H135+'Месяцы_рынки'!H123)</x:f>
        <x:v>-94.41295259141663</x:v>
      </x:c>
      <x:c r="H142" s="19" t="n">
        <x:f>200*('Месяцы_рынки'!I135-'Месяцы_рынки'!I123)/('Месяцы_рынки'!I135+'Месяцы_рынки'!I123)</x:f>
        <x:v>-25.480803687496277</x:v>
      </x:c>
      <x:c r="I142" s="19" t="n">
        <x:f>200*('Месяцы_рынки'!J135-'Месяцы_рынки'!J123)/('Месяцы_рынки'!J135+'Месяцы_рынки'!J123)</x:f>
        <x:v>4.744483777256519</x:v>
      </x:c>
      <x:c r="J142" s="19" t="n">
        <x:f>200*('Месяцы_рынки'!K135-'Месяцы_рынки'!K123)/('Месяцы_рынки'!K135+'Месяцы_рынки'!K123)</x:f>
        <x:v>4.137474273301133</x:v>
      </x:c>
    </x:row>
    <x:row r="143" ht="22" customHeight="1">
      <x:c r="A143" s="20" t="d">
        <x:v>2019-10-01T00:00:00.000Z</x:v>
      </x:c>
      <x:c r="B143" s="19" t="n">
        <x:f>200*('Месяцы_рынки'!C136-'Месяцы_рынки'!C124)/('Месяцы_рынки'!C136+'Месяцы_рынки'!C124)</x:f>
        <x:v>-37.05476080958006</x:v>
      </x:c>
      <x:c r="C143" s="19" t="n">
        <x:f>200*('Месяцы_рынки'!D136-'Месяцы_рынки'!D124)/('Месяцы_рынки'!D136+'Месяцы_рынки'!D124)</x:f>
        <x:v>-54.36604354475324</x:v>
      </x:c>
      <x:c r="D143" s="19" t="n">
        <x:f>200*('Месяцы_рынки'!E136-'Месяцы_рынки'!E124)/('Месяцы_рынки'!E136+'Месяцы_рынки'!E124)</x:f>
        <x:v>-38.695783760126645</x:v>
      </x:c>
      <x:c r="E143" s="19" t="n">
        <x:f>200*('Месяцы_рынки'!F136-'Месяцы_рынки'!F124)/('Месяцы_рынки'!F136+'Месяцы_рынки'!F124)</x:f>
        <x:v>-19.662961444277848</x:v>
      </x:c>
      <x:c r="F143" s="19" t="n">
        <x:f>200*('Месяцы_рынки'!G136-'Месяцы_рынки'!G124)/('Месяцы_рынки'!G136+'Месяцы_рынки'!G124)</x:f>
        <x:v>-9.251697116115897</x:v>
      </x:c>
      <x:c r="G143" s="19" t="n">
        <x:f>200*('Месяцы_рынки'!H136-'Месяцы_рынки'!H124)/('Месяцы_рынки'!H136+'Месяцы_рынки'!H124)</x:f>
        <x:v>-96.91150225521068</x:v>
      </x:c>
      <x:c r="H143" s="19" t="n">
        <x:f>200*('Месяцы_рынки'!I136-'Месяцы_рынки'!I124)/('Месяцы_рынки'!I136+'Месяцы_рынки'!I124)</x:f>
        <x:v>-58.11532953024247</x:v>
      </x:c>
      <x:c r="I143" s="19" t="n">
        <x:f>200*('Месяцы_рынки'!J136-'Месяцы_рынки'!J124)/('Месяцы_рынки'!J136+'Месяцы_рынки'!J124)</x:f>
        <x:v>-4.20752874484202</x:v>
      </x:c>
      <x:c r="J143" s="19" t="n">
        <x:f>200*('Месяцы_рынки'!K136-'Месяцы_рынки'!K124)/('Месяцы_рынки'!K136+'Месяцы_рынки'!K124)</x:f>
        <x:v>-2.451281778370534</x:v>
      </x:c>
    </x:row>
    <x:row r="144" ht="22" customHeight="1">
      <x:c r="A144" s="20" t="d">
        <x:v>2019-11-01T00:00:00.000Z</x:v>
      </x:c>
      <x:c r="B144" s="19" t="n">
        <x:f>200*('Месяцы_рынки'!C137-'Месяцы_рынки'!C125)/('Месяцы_рынки'!C137+'Месяцы_рынки'!C125)</x:f>
        <x:v>-26.016888334633517</x:v>
      </x:c>
      <x:c r="C144" s="19" t="n">
        <x:f>200*('Месяцы_рынки'!D137-'Месяцы_рынки'!D125)/('Месяцы_рынки'!D137+'Месяцы_рынки'!D125)</x:f>
        <x:v>-33.14385604620549</x:v>
      </x:c>
      <x:c r="D144" s="19" t="n">
        <x:f>200*('Месяцы_рынки'!E137-'Месяцы_рынки'!E125)/('Месяцы_рынки'!E137+'Месяцы_рынки'!E125)</x:f>
        <x:v>-89.56090168194906</x:v>
      </x:c>
      <x:c r="E144" s="19" t="n">
        <x:f>200*('Месяцы_рынки'!F137-'Месяцы_рынки'!F125)/('Месяцы_рынки'!F137+'Месяцы_рынки'!F125)</x:f>
        <x:v>-29.842894783575847</x:v>
      </x:c>
      <x:c r="F144" s="19" t="n">
        <x:f>200*('Месяцы_рынки'!G137-'Месяцы_рынки'!G125)/('Месяцы_рынки'!G137+'Месяцы_рынки'!G125)</x:f>
        <x:v>-7.864527172746262</x:v>
      </x:c>
      <x:c r="G144" s="19" t="n">
        <x:f>200*('Месяцы_рынки'!H137-'Месяцы_рынки'!H125)/('Месяцы_рынки'!H137+'Месяцы_рынки'!H125)</x:f>
        <x:v>-98.03829373681324</x:v>
      </x:c>
      <x:c r="H144" s="19" t="n">
        <x:f>200*('Месяцы_рынки'!I137-'Месяцы_рынки'!I125)/('Месяцы_рынки'!I137+'Месяцы_рынки'!I125)</x:f>
        <x:v>-66.54341198295494</x:v>
      </x:c>
      <x:c r="I144" s="19" t="n">
        <x:f>200*('Месяцы_рынки'!J137-'Месяцы_рынки'!J125)/('Месяцы_рынки'!J137+'Месяцы_рынки'!J125)</x:f>
        <x:v>-25.885990387373234</x:v>
      </x:c>
      <x:c r="J144" s="19" t="n">
        <x:f>200*('Месяцы_рынки'!K137-'Месяцы_рынки'!K125)/('Месяцы_рынки'!K137+'Месяцы_рынки'!K125)</x:f>
        <x:v>-5.206592993773127</x:v>
      </x:c>
    </x:row>
    <x:row r="145" ht="22" customHeight="1">
      <x:c r="A145" s="20" t="d">
        <x:v>2019-12-01T00:00:00.000Z</x:v>
      </x:c>
      <x:c r="B145" s="19" t="n">
        <x:f>200*('Месяцы_рынки'!C138-'Месяцы_рынки'!C126)/('Месяцы_рынки'!C138+'Месяцы_рынки'!C126)</x:f>
        <x:v>-5.340228136850975</x:v>
      </x:c>
      <x:c r="C145" s="19" t="n">
        <x:f>200*('Месяцы_рынки'!D138-'Месяцы_рынки'!D126)/('Месяцы_рынки'!D138+'Месяцы_рынки'!D126)</x:f>
        <x:v>-8.225759057864526</x:v>
      </x:c>
      <x:c r="D145" s="19" t="n">
        <x:f>200*('Месяцы_рынки'!E138-'Месяцы_рынки'!E126)/('Месяцы_рынки'!E138+'Месяцы_рынки'!E126)</x:f>
        <x:v>-39.84487154243274</x:v>
      </x:c>
      <x:c r="E145" s="19" t="n">
        <x:f>200*('Месяцы_рынки'!F138-'Месяцы_рынки'!F126)/('Месяцы_рынки'!F138+'Месяцы_рынки'!F126)</x:f>
        <x:v>-44.37819482484365</x:v>
      </x:c>
      <x:c r="F145" s="19" t="n">
        <x:f>200*('Месяцы_рынки'!G138-'Месяцы_рынки'!G126)/('Месяцы_рынки'!G138+'Месяцы_рынки'!G126)</x:f>
        <x:v>-19.249310247643702</x:v>
      </x:c>
      <x:c r="G145" s="19" t="n">
        <x:f>200*('Месяцы_рынки'!H138-'Месяцы_рынки'!H126)/('Месяцы_рынки'!H138+'Месяцы_рынки'!H126)</x:f>
        <x:v>-49.14848283434874</x:v>
      </x:c>
      <x:c r="H145" s="19" t="n">
        <x:f>200*('Месяцы_рынки'!I138-'Месяцы_рынки'!I126)/('Месяцы_рынки'!I138+'Месяцы_рынки'!I126)</x:f>
        <x:v>-27.263460461294695</x:v>
      </x:c>
      <x:c r="I145" s="19" t="n">
        <x:f>200*('Месяцы_рынки'!J138-'Месяцы_рынки'!J126)/('Месяцы_рынки'!J138+'Месяцы_рынки'!J126)</x:f>
        <x:v>31.346113999401297</x:v>
      </x:c>
      <x:c r="J145" s="19" t="n">
        <x:f>200*('Месяцы_рынки'!K138-'Месяцы_рынки'!K126)/('Месяцы_рынки'!K138+'Месяцы_рынки'!K126)</x:f>
        <x:v>-2.7144499479525153</x:v>
      </x:c>
    </x:row>
    <x:row r="146" ht="22" customHeight="1">
      <x:c r="A146" s="20" t="d">
        <x:v>2020-01-01T00:00:00.000Z</x:v>
      </x:c>
      <x:c r="B146" s="19" t="n">
        <x:f>200*('Месяцы_рынки'!C139-'Месяцы_рынки'!C127)/('Месяцы_рынки'!C139+'Месяцы_рынки'!C127)</x:f>
        <x:v>6.5368250232213185</x:v>
      </x:c>
      <x:c r="C146" s="19" t="n">
        <x:f>200*('Месяцы_рынки'!D139-'Месяцы_рынки'!D127)/('Месяцы_рынки'!D139+'Месяцы_рынки'!D127)</x:f>
        <x:v>3.271615400470618</x:v>
      </x:c>
      <x:c r="D146" s="19" t="n">
        <x:f>200*('Месяцы_рынки'!E139-'Месяцы_рынки'!E127)/('Месяцы_рынки'!E139+'Месяцы_рынки'!E127)</x:f>
        <x:v>-42.40606284625645</x:v>
      </x:c>
      <x:c r="E146" s="19" t="n">
        <x:f>200*('Месяцы_рынки'!F139-'Месяцы_рынки'!F127)/('Месяцы_рынки'!F139+'Месяцы_рынки'!F127)</x:f>
        <x:v>2.2279046015671944</x:v>
      </x:c>
      <x:c r="F146" s="19" t="n">
        <x:f>200*('Месяцы_рынки'!G139-'Месяцы_рынки'!G127)/('Месяцы_рынки'!G139+'Месяцы_рынки'!G127)</x:f>
        <x:v>-5.7204437533311685</x:v>
      </x:c>
      <x:c r="G146" s="19" t="n">
        <x:f>200*('Месяцы_рынки'!H139-'Месяцы_рынки'!H127)/('Месяцы_рынки'!H139+'Месяцы_рынки'!H127)</x:f>
        <x:v>-44.36330319030649</x:v>
      </x:c>
      <x:c r="H146" s="19" t="n">
        <x:f>200*('Месяцы_рынки'!I139-'Месяцы_рынки'!I127)/('Месяцы_рынки'!I139+'Месяцы_рынки'!I127)</x:f>
        <x:v>-9.386637352017358</x:v>
      </x:c>
      <x:c r="I146" s="19" t="n">
        <x:f>200*('Месяцы_рынки'!J139-'Месяцы_рынки'!J127)/('Месяцы_рынки'!J139+'Месяцы_рынки'!J127)</x:f>
        <x:v>-25.229101923896266</x:v>
      </x:c>
      <x:c r="J146" s="19" t="n">
        <x:f>200*('Месяцы_рынки'!K139-'Месяцы_рынки'!K127)/('Месяцы_рынки'!K139+'Месяцы_рынки'!K127)</x:f>
        <x:v>0.7712292052315796</x:v>
      </x:c>
    </x:row>
    <x:row r="147" ht="22" customHeight="1">
      <x:c r="A147" s="20" t="d">
        <x:v>2020-02-01T00:00:00.000Z</x:v>
      </x:c>
      <x:c r="B147" s="19" t="n">
        <x:f>200*('Месяцы_рынки'!C140-'Месяцы_рынки'!C128)/('Месяцы_рынки'!C140+'Месяцы_рынки'!C128)</x:f>
        <x:v>18.620262315095157</x:v>
      </x:c>
      <x:c r="C147" s="19" t="n">
        <x:f>200*('Месяцы_рынки'!D140-'Месяцы_рынки'!D128)/('Месяцы_рынки'!D140+'Месяцы_рынки'!D128)</x:f>
        <x:v>5.928773775642692</x:v>
      </x:c>
      <x:c r="D147" s="19" t="n">
        <x:f>200*('Месяцы_рынки'!E140-'Месяцы_рынки'!E128)/('Месяцы_рынки'!E140+'Месяцы_рынки'!E128)</x:f>
        <x:v>11.827860103659047</x:v>
      </x:c>
      <x:c r="E147" s="19" t="n">
        <x:f>200*('Месяцы_рынки'!F140-'Месяцы_рынки'!F128)/('Месяцы_рынки'!F140+'Месяцы_рынки'!F128)</x:f>
        <x:v>2.439198112177507</x:v>
      </x:c>
      <x:c r="F147" s="19" t="n">
        <x:f>200*('Месяцы_рынки'!G140-'Месяцы_рынки'!G128)/('Месяцы_рынки'!G140+'Месяцы_рынки'!G128)</x:f>
        <x:v>11.340837878719462</x:v>
      </x:c>
      <x:c r="G147" s="19" t="n">
        <x:f>200*('Месяцы_рынки'!H140-'Месяцы_рынки'!H128)/('Месяцы_рынки'!H140+'Месяцы_рынки'!H128)</x:f>
        <x:v>-7.074161963696363</x:v>
      </x:c>
      <x:c r="H147" s="19" t="n">
        <x:f>200*('Месяцы_рынки'!I140-'Месяцы_рынки'!I128)/('Месяцы_рынки'!I140+'Месяцы_рынки'!I128)</x:f>
        <x:v>-29.926077212597303</x:v>
      </x:c>
      <x:c r="I147" s="19" t="n">
        <x:f>200*('Месяцы_рынки'!J140-'Месяцы_рынки'!J128)/('Месяцы_рынки'!J140+'Месяцы_рынки'!J128)</x:f>
        <x:v>0.7601039360477658</x:v>
      </x:c>
      <x:c r="J147" s="19" t="n">
        <x:f>200*('Месяцы_рынки'!K140-'Месяцы_рынки'!K128)/('Месяцы_рынки'!K140+'Месяцы_рынки'!K128)</x:f>
        <x:v>5.894485725747396</x:v>
      </x:c>
    </x:row>
    <x:row r="148" ht="22" customHeight="1">
      <x:c r="A148" s="20" t="d">
        <x:v>2020-03-01T00:00:00.000Z</x:v>
      </x:c>
      <x:c r="B148" s="19" t="n">
        <x:f>200*('Месяцы_рынки'!C141-'Месяцы_рынки'!C129)/('Месяцы_рынки'!C141+'Месяцы_рынки'!C129)</x:f>
        <x:v>-2.084365956713962</x:v>
      </x:c>
      <x:c r="C148" s="19" t="n">
        <x:f>200*('Месяцы_рынки'!D141-'Месяцы_рынки'!D129)/('Месяцы_рынки'!D141+'Месяцы_рынки'!D129)</x:f>
        <x:v>-18.565920083114865</x:v>
      </x:c>
      <x:c r="D148" s="19" t="n">
        <x:f>200*('Месяцы_рынки'!E141-'Месяцы_рынки'!E129)/('Месяцы_рынки'!E141+'Месяцы_рынки'!E129)</x:f>
        <x:v>34.085699130713024</x:v>
      </x:c>
      <x:c r="E148" s="19" t="n">
        <x:f>200*('Месяцы_рынки'!F141-'Месяцы_рынки'!F129)/('Месяцы_рынки'!F141+'Месяцы_рынки'!F129)</x:f>
        <x:v>3.0698737747826508</x:v>
      </x:c>
      <x:c r="F148" s="19" t="n">
        <x:f>200*('Месяцы_рынки'!G141-'Месяцы_рынки'!G129)/('Месяцы_рынки'!G141+'Месяцы_рынки'!G129)</x:f>
        <x:v>21.783287440629113</x:v>
      </x:c>
      <x:c r="G148" s="19" t="n">
        <x:f>200*('Месяцы_рынки'!H141-'Месяцы_рынки'!H129)/('Месяцы_рынки'!H141+'Месяцы_рынки'!H129)</x:f>
        <x:v>-8.754575964426223</x:v>
      </x:c>
      <x:c r="H148" s="19" t="n">
        <x:f>200*('Месяцы_рынки'!I141-'Месяцы_рынки'!I129)/('Месяцы_рынки'!I141+'Месяцы_рынки'!I129)</x:f>
        <x:v>59.37858605262104</x:v>
      </x:c>
      <x:c r="I148" s="19" t="n">
        <x:f>200*('Месяцы_рынки'!J141-'Месяцы_рынки'!J129)/('Месяцы_рынки'!J141+'Месяцы_рынки'!J129)</x:f>
        <x:v>10.247663134822133</x:v>
      </x:c>
      <x:c r="J148" s="19" t="n">
        <x:f>200*('Месяцы_рынки'!K141-'Месяцы_рынки'!K129)/('Месяцы_рынки'!K141+'Месяцы_рынки'!K129)</x:f>
        <x:v>-5.815080725608049</x:v>
      </x:c>
    </x:row>
    <x:row r="149" ht="22" customHeight="1">
      <x:c r="A149" s="20" t="d">
        <x:v>2020-04-01T00:00:00.000Z</x:v>
      </x:c>
      <x:c r="B149" s="19" t="n">
        <x:f>200*('Месяцы_рынки'!C142-'Месяцы_рынки'!C130)/('Месяцы_рынки'!C142+'Месяцы_рынки'!C130)</x:f>
        <x:v>-16.928929867927838</x:v>
      </x:c>
      <x:c r="C149" s="19" t="n">
        <x:f>200*('Месяцы_рынки'!D142-'Месяцы_рынки'!D130)/('Месяцы_рынки'!D142+'Месяцы_рынки'!D130)</x:f>
        <x:v>-23.905753932191132</x:v>
      </x:c>
      <x:c r="D149" s="19" t="n">
        <x:f>200*('Месяцы_рынки'!E142-'Месяцы_рынки'!E130)/('Месяцы_рынки'!E142+'Месяцы_рынки'!E130)</x:f>
        <x:v>9.980996284333699</x:v>
      </x:c>
      <x:c r="E149" s="19" t="n">
        <x:f>200*('Месяцы_рынки'!F142-'Месяцы_рынки'!F130)/('Месяцы_рынки'!F142+'Месяцы_рынки'!F130)</x:f>
        <x:v>-55.67261826340899</x:v>
      </x:c>
      <x:c r="F149" s="19" t="n">
        <x:f>200*('Месяцы_рынки'!G142-'Месяцы_рынки'!G130)/('Месяцы_рынки'!G142+'Месяцы_рынки'!G130)</x:f>
        <x:v>8.057933237543482</x:v>
      </x:c>
      <x:c r="G149" s="19" t="n">
        <x:f>200*('Месяцы_рынки'!H142-'Месяцы_рынки'!H130)/('Месяцы_рынки'!H142+'Месяцы_рынки'!H130)</x:f>
        <x:v>-1.7940011087962027</x:v>
      </x:c>
      <x:c r="H149" s="19" t="n">
        <x:f>200*('Месяцы_рынки'!I142-'Месяцы_рынки'!I130)/('Месяцы_рынки'!I142+'Месяцы_рынки'!I130)</x:f>
        <x:v>-11.44169497733278</x:v>
      </x:c>
      <x:c r="I149" s="19" t="n">
        <x:f>200*('Месяцы_рынки'!J142-'Месяцы_рынки'!J130)/('Месяцы_рынки'!J142+'Месяцы_рынки'!J130)</x:f>
        <x:v>40.03063179636886</x:v>
      </x:c>
      <x:c r="J149" s="19" t="n">
        <x:f>200*('Месяцы_рынки'!K142-'Месяцы_рынки'!K130)/('Месяцы_рынки'!K142+'Месяцы_рынки'!K130)</x:f>
        <x:v>-52.20681265219624</x:v>
      </x:c>
    </x:row>
    <x:row r="150" ht="22" customHeight="1">
      <x:c r="A150" s="20" t="d">
        <x:v>2020-05-01T00:00:00.000Z</x:v>
      </x:c>
      <x:c r="B150" s="19" t="n">
        <x:f>200*('Месяцы_рынки'!C143-'Месяцы_рынки'!C131)/('Месяцы_рынки'!C143+'Месяцы_рынки'!C131)</x:f>
        <x:v>37.46773581937845</x:v>
      </x:c>
      <x:c r="C150" s="19" t="n">
        <x:f>200*('Месяцы_рынки'!D143-'Месяцы_рынки'!D131)/('Месяцы_рынки'!D143+'Месяцы_рынки'!D131)</x:f>
        <x:v>-34.314300607355435</x:v>
      </x:c>
      <x:c r="D150" s="19" t="n">
        <x:f>200*('Месяцы_рынки'!E143-'Месяцы_рынки'!E131)/('Месяцы_рынки'!E143+'Месяцы_рынки'!E131)</x:f>
        <x:v>28.63253920430754</x:v>
      </x:c>
      <x:c r="E150" s="19" t="n">
        <x:f>200*('Месяцы_рынки'!F143-'Месяцы_рынки'!F131)/('Месяцы_рынки'!F143+'Месяцы_рынки'!F131)</x:f>
        <x:v>-13.488351851194368</x:v>
      </x:c>
      <x:c r="F150" s="19" t="n">
        <x:f>200*('Месяцы_рынки'!G143-'Месяцы_рынки'!G131)/('Месяцы_рынки'!G143+'Месяцы_рынки'!G131)</x:f>
        <x:v>-3.295073545365107</x:v>
      </x:c>
      <x:c r="G150" s="19" t="n">
        <x:f>200*('Месяцы_рынки'!H143-'Месяцы_рынки'!H131)/('Месяцы_рынки'!H143+'Месяцы_рынки'!H131)</x:f>
        <x:v>12.70534746647893</x:v>
      </x:c>
      <x:c r="H150" s="19" t="n">
        <x:f>200*('Месяцы_рынки'!I143-'Месяцы_рынки'!I131)/('Месяцы_рынки'!I143+'Месяцы_рынки'!I131)</x:f>
        <x:v>-4.653950582481064</x:v>
      </x:c>
      <x:c r="I150" s="19" t="n">
        <x:f>200*('Месяцы_рынки'!J143-'Месяцы_рынки'!J131)/('Месяцы_рынки'!J143+'Месяцы_рынки'!J131)</x:f>
        <x:v>22.552962960043423</x:v>
      </x:c>
      <x:c r="J150" s="19" t="n">
        <x:f>200*('Месяцы_рынки'!K143-'Месяцы_рынки'!K131)/('Месяцы_рынки'!K143+'Месяцы_рынки'!K131)</x:f>
        <x:v>-48.208725426253324</x:v>
      </x:c>
    </x:row>
    <x:row r="151" ht="22" customHeight="1">
      <x:c r="A151" s="20" t="d">
        <x:v>2020-06-01T00:00:00.000Z</x:v>
      </x:c>
      <x:c r="B151" s="19" t="n">
        <x:f>200*('Месяцы_рынки'!C144-'Месяцы_рынки'!C132)/('Месяцы_рынки'!C144+'Месяцы_рынки'!C132)</x:f>
        <x:v>7.065687600152133</x:v>
      </x:c>
      <x:c r="C151" s="19" t="n">
        <x:f>200*('Месяцы_рынки'!D144-'Месяцы_рынки'!D132)/('Месяцы_рынки'!D144+'Месяцы_рынки'!D132)</x:f>
        <x:v>-32.19795390769517</x:v>
      </x:c>
      <x:c r="D151" s="19" t="n">
        <x:f>200*('Месяцы_рынки'!E144-'Месяцы_рынки'!E132)/('Месяцы_рынки'!E144+'Месяцы_рынки'!E132)</x:f>
        <x:v>-1.301417543043485</x:v>
      </x:c>
      <x:c r="E151" s="19" t="n">
        <x:f>200*('Месяцы_рынки'!F144-'Месяцы_рынки'!F132)/('Месяцы_рынки'!F144+'Месяцы_рынки'!F132)</x:f>
        <x:v>-5.046904645652928</x:v>
      </x:c>
      <x:c r="F151" s="19" t="n">
        <x:f>200*('Месяцы_рынки'!G144-'Месяцы_рынки'!G132)/('Месяцы_рынки'!G144+'Месяцы_рынки'!G132)</x:f>
        <x:v>47.74867987033862</x:v>
      </x:c>
      <x:c r="G151" s="19" t="n">
        <x:f>200*('Месяцы_рынки'!H144-'Месяцы_рынки'!H132)/('Месяцы_рынки'!H144+'Месяцы_рынки'!H132)</x:f>
        <x:v>3.0139931169686855</x:v>
      </x:c>
      <x:c r="H151" s="19" t="n">
        <x:f>200*('Месяцы_рынки'!I144-'Месяцы_рынки'!I132)/('Месяцы_рынки'!I144+'Месяцы_рынки'!I132)</x:f>
        <x:v>4.05772184724547</x:v>
      </x:c>
      <x:c r="I151" s="19" t="n">
        <x:f>200*('Месяцы_рынки'!J144-'Месяцы_рынки'!J132)/('Месяцы_рынки'!J144+'Месяцы_рынки'!J132)</x:f>
        <x:v>34.69656149052322</x:v>
      </x:c>
      <x:c r="J151" s="19" t="n">
        <x:f>200*('Месяцы_рынки'!K144-'Месяцы_рынки'!K132)/('Месяцы_рынки'!K144+'Месяцы_рынки'!K132)</x:f>
        <x:v>-10.706568558174611</x:v>
      </x:c>
    </x:row>
    <x:row r="152" ht="22" customHeight="1">
      <x:c r="A152" s="20" t="d">
        <x:v>2020-07-01T00:00:00.000Z</x:v>
      </x:c>
      <x:c r="B152" s="19" t="n">
        <x:f>200*('Месяцы_рынки'!C145-'Месяцы_рынки'!C133)/('Месяцы_рынки'!C145+'Месяцы_рынки'!C133)</x:f>
        <x:v>16.339689997801173</x:v>
      </x:c>
      <x:c r="C152" s="19" t="n">
        <x:f>200*('Месяцы_рынки'!D145-'Месяцы_рынки'!D133)/('Месяцы_рынки'!D145+'Месяцы_рынки'!D133)</x:f>
        <x:v>-32.16399618828232</x:v>
      </x:c>
      <x:c r="D152" s="19" t="n">
        <x:f>200*('Месяцы_рынки'!E145-'Месяцы_рынки'!E133)/('Месяцы_рынки'!E145+'Месяцы_рынки'!E133)</x:f>
        <x:v>32.5178343602549</x:v>
      </x:c>
      <x:c r="E152" s="19" t="n">
        <x:f>200*('Месяцы_рынки'!F145-'Месяцы_рынки'!F133)/('Месяцы_рынки'!F145+'Месяцы_рынки'!F133)</x:f>
        <x:v>8.629921734493857</x:v>
      </x:c>
      <x:c r="F152" s="19" t="n">
        <x:f>200*('Месяцы_рынки'!G145-'Месяцы_рынки'!G133)/('Месяцы_рынки'!G145+'Месяцы_рынки'!G133)</x:f>
        <x:v>-0.04241594938288076</x:v>
      </x:c>
      <x:c r="G152" s="19" t="n">
        <x:f>200*('Месяцы_рынки'!H145-'Месяцы_рынки'!H133)/('Месяцы_рынки'!H145+'Месяцы_рынки'!H133)</x:f>
        <x:v>4.276921082231294</x:v>
      </x:c>
      <x:c r="H152" s="19" t="n">
        <x:f>200*('Месяцы_рынки'!I145-'Месяцы_рынки'!I133)/('Месяцы_рынки'!I145+'Месяцы_рынки'!I133)</x:f>
        <x:v>41.34988972825154</x:v>
      </x:c>
      <x:c r="I152" s="19" t="n">
        <x:f>200*('Месяцы_рынки'!J145-'Месяцы_рынки'!J133)/('Месяцы_рынки'!J145+'Месяцы_рынки'!J133)</x:f>
        <x:v>28.6368112951084</x:v>
      </x:c>
      <x:c r="J152" s="19" t="n">
        <x:f>200*('Месяцы_рынки'!K145-'Месяцы_рынки'!K133)/('Месяцы_рынки'!K145+'Месяцы_рынки'!K133)</x:f>
        <x:v>-22.507170272046086</x:v>
      </x:c>
    </x:row>
    <x:row r="153" ht="22" customHeight="1">
      <x:c r="A153" s="20" t="d">
        <x:v>2020-08-01T00:00:00.000Z</x:v>
      </x:c>
      <x:c r="B153" s="19" t="n">
        <x:f>200*('Месяцы_рынки'!C146-'Месяцы_рынки'!C134)/('Месяцы_рынки'!C146+'Месяцы_рынки'!C134)</x:f>
        <x:v>14.313333326635295</x:v>
      </x:c>
      <x:c r="C153" s="19" t="n">
        <x:f>200*('Месяцы_рынки'!D146-'Месяцы_рынки'!D134)/('Месяцы_рынки'!D146+'Месяцы_рынки'!D134)</x:f>
        <x:v>-35.651773711011515</x:v>
      </x:c>
      <x:c r="D153" s="19" t="n">
        <x:f>200*('Месяцы_рынки'!E146-'Месяцы_рынки'!E134)/('Месяцы_рынки'!E146+'Месяцы_рынки'!E134)</x:f>
        <x:v>60.55663692137799</x:v>
      </x:c>
      <x:c r="E153" s="19" t="n">
        <x:f>200*('Месяцы_рынки'!F146-'Месяцы_рынки'!F134)/('Месяцы_рынки'!F146+'Месяцы_рынки'!F134)</x:f>
        <x:v>6.2266308099596195</x:v>
      </x:c>
      <x:c r="F153" s="19" t="n">
        <x:f>200*('Месяцы_рынки'!G146-'Месяцы_рынки'!G134)/('Месяцы_рынки'!G146+'Месяцы_рынки'!G134)</x:f>
        <x:v>3.133653098502072</x:v>
      </x:c>
      <x:c r="G153" s="19" t="n">
        <x:f>200*('Месяцы_рынки'!H146-'Месяцы_рынки'!H134)/('Месяцы_рынки'!H146+'Месяцы_рынки'!H134)</x:f>
        <x:v>12.123330869309752</x:v>
      </x:c>
      <x:c r="H153" s="19" t="n">
        <x:f>200*('Месяцы_рынки'!I146-'Месяцы_рынки'!I134)/('Месяцы_рынки'!I146+'Месяцы_рынки'!I134)</x:f>
        <x:v>11.232769888206606</x:v>
      </x:c>
      <x:c r="I153" s="19" t="n">
        <x:f>200*('Месяцы_рынки'!J146-'Месяцы_рынки'!J134)/('Месяцы_рынки'!J146+'Месяцы_рынки'!J134)</x:f>
        <x:v>34.30550237277561</x:v>
      </x:c>
      <x:c r="J153" s="19" t="n">
        <x:f>200*('Месяцы_рынки'!K146-'Месяцы_рынки'!K134)/('Месяцы_рынки'!K146+'Месяцы_рынки'!K134)</x:f>
        <x:v>-11.955146963154819</x:v>
      </x:c>
    </x:row>
    <x:row r="154" ht="22" customHeight="1">
      <x:c r="A154" s="20" t="d">
        <x:v>2020-09-01T00:00:00.000Z</x:v>
      </x:c>
      <x:c r="B154" s="19" t="n">
        <x:f>200*('Месяцы_рынки'!C147-'Месяцы_рынки'!C135)/('Месяцы_рынки'!C147+'Месяцы_рынки'!C135)</x:f>
        <x:v>14.34923294669219</x:v>
      </x:c>
      <x:c r="C154" s="19" t="n">
        <x:f>200*('Месяцы_рынки'!D147-'Месяцы_рынки'!D135)/('Месяцы_рынки'!D147+'Месяцы_рынки'!D135)</x:f>
        <x:v>-11.598967200898846</x:v>
      </x:c>
      <x:c r="D154" s="19" t="n">
        <x:f>200*('Месяцы_рынки'!E147-'Месяцы_рынки'!E135)/('Месяцы_рынки'!E147+'Месяцы_рынки'!E135)</x:f>
        <x:v>59.430068299271376</x:v>
      </x:c>
      <x:c r="E154" s="19" t="n">
        <x:f>200*('Месяцы_рынки'!F147-'Месяцы_рынки'!F135)/('Месяцы_рынки'!F147+'Месяцы_рынки'!F135)</x:f>
        <x:v>10.667608671038101</x:v>
      </x:c>
      <x:c r="F154" s="19" t="n">
        <x:f>200*('Месяцы_рынки'!G147-'Месяцы_рынки'!G135)/('Месяцы_рынки'!G147+'Месяцы_рынки'!G135)</x:f>
        <x:v>8.547892820257369</x:v>
      </x:c>
      <x:c r="G154" s="19" t="n">
        <x:f>200*('Месяцы_рынки'!H147-'Месяцы_рынки'!H135)/('Месяцы_рынки'!H147+'Месяцы_рынки'!H135)</x:f>
        <x:v>27.489358308943608</x:v>
      </x:c>
      <x:c r="H154" s="19" t="n">
        <x:f>200*('Месяцы_рынки'!I147-'Месяцы_рынки'!I135)/('Месяцы_рынки'!I147+'Месяцы_рынки'!I135)</x:f>
        <x:v>-22.64124674144624</x:v>
      </x:c>
      <x:c r="I154" s="19" t="n">
        <x:f>200*('Месяцы_рынки'!J147-'Месяцы_рынки'!J135)/('Месяцы_рынки'!J147+'Месяцы_рынки'!J135)</x:f>
        <x:v>7.85837040305084</x:v>
      </x:c>
      <x:c r="J154" s="19" t="n">
        <x:f>200*('Месяцы_рынки'!K147-'Месяцы_рынки'!K135)/('Месяцы_рынки'!K147+'Месяцы_рынки'!K135)</x:f>
        <x:v>-5.35085491026916</x:v>
      </x:c>
    </x:row>
    <x:row r="155" ht="22" customHeight="1">
      <x:c r="A155" s="20" t="d">
        <x:v>2020-10-01T00:00:00.000Z</x:v>
      </x:c>
      <x:c r="B155" s="19" t="n">
        <x:f>200*('Месяцы_рынки'!C148-'Месяцы_рынки'!C136)/('Месяцы_рынки'!C148+'Месяцы_рынки'!C136)</x:f>
        <x:v>7.40020376996844</x:v>
      </x:c>
      <x:c r="C155" s="19" t="n">
        <x:f>200*('Месяцы_рынки'!D148-'Месяцы_рынки'!D136)/('Месяцы_рынки'!D148+'Месяцы_рынки'!D136)</x:f>
        <x:v>6.580936444326729</x:v>
      </x:c>
      <x:c r="D155" s="19" t="n">
        <x:f>200*('Месяцы_рынки'!E148-'Месяцы_рынки'!E136)/('Месяцы_рынки'!E148+'Месяцы_рынки'!E136)</x:f>
        <x:v>21.62710953454655</x:v>
      </x:c>
      <x:c r="E155" s="19" t="n">
        <x:f>200*('Месяцы_рынки'!F148-'Месяцы_рынки'!F136)/('Месяцы_рынки'!F148+'Месяцы_рынки'!F136)</x:f>
        <x:v>35.57847642387908</x:v>
      </x:c>
      <x:c r="F155" s="19" t="n">
        <x:f>200*('Месяцы_рынки'!G148-'Месяцы_рынки'!G136)/('Месяцы_рынки'!G148+'Месяцы_рынки'!G136)</x:f>
        <x:v>-10.50251389323189</x:v>
      </x:c>
      <x:c r="G155" s="19" t="n">
        <x:f>200*('Месяцы_рынки'!H148-'Месяцы_рынки'!H136)/('Месяцы_рынки'!H148+'Месяцы_рынки'!H136)</x:f>
        <x:v>31.5644589091073</x:v>
      </x:c>
      <x:c r="H155" s="19" t="n">
        <x:f>200*('Месяцы_рынки'!I148-'Месяцы_рынки'!I136)/('Месяцы_рынки'!I148+'Месяцы_рынки'!I136)</x:f>
        <x:v>-19.194628843059768</x:v>
      </x:c>
      <x:c r="I155" s="19" t="n">
        <x:f>200*('Месяцы_рынки'!J148-'Месяцы_рынки'!J136)/('Месяцы_рынки'!J148+'Месяцы_рынки'!J136)</x:f>
        <x:v>39.37141163232946</x:v>
      </x:c>
      <x:c r="J155" s="19" t="n">
        <x:f>200*('Месяцы_рынки'!K148-'Месяцы_рынки'!K136)/('Месяцы_рынки'!K148+'Месяцы_рынки'!K136)</x:f>
        <x:v>-0.7249327512817796</x:v>
      </x:c>
    </x:row>
    <x:row r="156" ht="22" customHeight="1">
      <x:c r="A156" s="20" t="d">
        <x:v>2020-11-01T00:00:00.000Z</x:v>
      </x:c>
      <x:c r="B156" s="19" t="n">
        <x:f>200*('Месяцы_рынки'!C149-'Месяцы_рынки'!C137)/('Месяцы_рынки'!C149+'Месяцы_рынки'!C137)</x:f>
        <x:v>6.099786271671829</x:v>
      </x:c>
      <x:c r="C156" s="19" t="n">
        <x:f>200*('Месяцы_рынки'!D149-'Месяцы_рынки'!D137)/('Месяцы_рынки'!D149+'Месяцы_рынки'!D137)</x:f>
        <x:v>18.058888617566303</x:v>
      </x:c>
      <x:c r="D156" s="19" t="n">
        <x:f>200*('Месяцы_рынки'!E149-'Месяцы_рынки'!E137)/('Месяцы_рынки'!E149+'Месяцы_рынки'!E137)</x:f>
        <x:v>89.01574932745874</x:v>
      </x:c>
      <x:c r="E156" s="19" t="n">
        <x:f>200*('Месяцы_рынки'!F149-'Месяцы_рынки'!F137)/('Месяцы_рынки'!F149+'Месяцы_рынки'!F137)</x:f>
        <x:v>21.88027958622871</x:v>
      </x:c>
      <x:c r="F156" s="19" t="n">
        <x:f>200*('Месяцы_рынки'!G149-'Месяцы_рынки'!G137)/('Месяцы_рынки'!G149+'Месяцы_рынки'!G137)</x:f>
        <x:v>2.543737269164252</x:v>
      </x:c>
      <x:c r="G156" s="19" t="n">
        <x:f>200*('Месяцы_рынки'!H149-'Месяцы_рынки'!H137)/('Месяцы_рынки'!H149+'Месяцы_рынки'!H137)</x:f>
        <x:v>35.952248999846745</x:v>
      </x:c>
      <x:c r="H156" s="19" t="n">
        <x:f>200*('Месяцы_рынки'!I149-'Месяцы_рынки'!I137)/('Месяцы_рынки'!I149+'Месяцы_рынки'!I137)</x:f>
        <x:v>-26.046794130891715</x:v>
      </x:c>
      <x:c r="I156" s="19" t="n">
        <x:f>200*('Месяцы_рынки'!J149-'Месяцы_рынки'!J137)/('Месяцы_рынки'!J149+'Месяцы_рынки'!J137)</x:f>
        <x:v>-5.15709454108262</x:v>
      </x:c>
      <x:c r="J156" s="19" t="n">
        <x:f>200*('Месяцы_рынки'!K149-'Месяцы_рынки'!K137)/('Месяцы_рынки'!K149+'Месяцы_рынки'!K137)</x:f>
        <x:v>3.1862976695076624</x:v>
      </x:c>
    </x:row>
    <x:row r="157" ht="22" customHeight="1">
      <x:c r="A157" s="20" t="d">
        <x:v>2020-12-01T00:00:00.000Z</x:v>
      </x:c>
      <x:c r="B157" s="19" t="n">
        <x:f>200*('Месяцы_рынки'!C150-'Месяцы_рынки'!C138)/('Месяцы_рынки'!C150+'Месяцы_рынки'!C138)</x:f>
        <x:v>16.350975946590694</x:v>
      </x:c>
      <x:c r="C157" s="19" t="n">
        <x:f>200*('Месяцы_рынки'!D150-'Месяцы_рынки'!D138)/('Месяцы_рынки'!D150+'Месяцы_рынки'!D138)</x:f>
        <x:v>23.083457005277918</x:v>
      </x:c>
      <x:c r="D157" s="19" t="n">
        <x:f>200*('Месяцы_рынки'!E150-'Месяцы_рынки'!E138)/('Месяцы_рынки'!E150+'Месяцы_рынки'!E138)</x:f>
        <x:v>89.92038432581435</x:v>
      </x:c>
      <x:c r="E157" s="19" t="n">
        <x:f>200*('Месяцы_рынки'!F150-'Месяцы_рынки'!F138)/('Месяцы_рынки'!F150+'Месяцы_рынки'!F138)</x:f>
        <x:v>50.223645838034564</x:v>
      </x:c>
      <x:c r="F157" s="19" t="n">
        <x:f>200*('Месяцы_рынки'!G150-'Месяцы_рынки'!G138)/('Месяцы_рынки'!G150+'Месяцы_рынки'!G138)</x:f>
        <x:v>21.003518470271402</x:v>
      </x:c>
      <x:c r="G157" s="19" t="n">
        <x:f>200*('Месяцы_рынки'!H150-'Месяцы_рынки'!H138)/('Месяцы_рынки'!H150+'Месяцы_рынки'!H138)</x:f>
        <x:v>12.519542762365745</x:v>
      </x:c>
      <x:c r="H157" s="19" t="n">
        <x:f>200*('Месяцы_рынки'!I150-'Месяцы_рынки'!I138)/('Месяцы_рынки'!I150+'Месяцы_рынки'!I138)</x:f>
        <x:v>-35.82532156373678</x:v>
      </x:c>
      <x:c r="I157" s="19" t="n">
        <x:f>200*('Месяцы_рынки'!J150-'Месяцы_рынки'!J138)/('Месяцы_рынки'!J150+'Месяцы_рынки'!J138)</x:f>
        <x:v>-16.26372054630471</x:v>
      </x:c>
      <x:c r="J157" s="19" t="n">
        <x:f>200*('Месяцы_рынки'!K150-'Месяцы_рынки'!K138)/('Месяцы_рынки'!K150+'Месяцы_рынки'!K138)</x:f>
        <x:v>5.593307135931312</x:v>
      </x:c>
    </x:row>
    <x:row r="158" ht="22" customHeight="1">
      <x:c r="A158" s="20" t="d">
        <x:v>2021-01-01T00:00:00.000Z</x:v>
      </x:c>
      <x:c r="B158" s="19" t="n">
        <x:f>200*('Месяцы_рынки'!C151-'Месяцы_рынки'!C139)/('Месяцы_рынки'!C151+'Месяцы_рынки'!C139)</x:f>
        <x:v>22.5159136582664</x:v>
      </x:c>
      <x:c r="C158" s="19" t="n">
        <x:f>200*('Месяцы_рынки'!D151-'Месяцы_рынки'!D139)/('Месяцы_рынки'!D151+'Месяцы_рынки'!D139)</x:f>
        <x:v>11.85047227354528</x:v>
      </x:c>
      <x:c r="D158" s="19" t="n">
        <x:f>200*('Месяцы_рынки'!E151-'Месяцы_рынки'!E139)/('Месяцы_рынки'!E151+'Месяцы_рынки'!E139)</x:f>
        <x:v>88.36322128185371</x:v>
      </x:c>
      <x:c r="E158" s="19" t="n">
        <x:f>200*('Месяцы_рынки'!F151-'Месяцы_рынки'!F139)/('Месяцы_рынки'!F151+'Месяцы_рынки'!F139)</x:f>
        <x:v>-3.0027374333030417</x:v>
      </x:c>
      <x:c r="F158" s="19" t="n">
        <x:f>200*('Месяцы_рынки'!G151-'Месяцы_рынки'!G139)/('Месяцы_рынки'!G151+'Месяцы_рынки'!G139)</x:f>
        <x:v>9.910840453661695</x:v>
      </x:c>
      <x:c r="G158" s="19" t="n">
        <x:f>200*('Месяцы_рынки'!H151-'Месяцы_рынки'!H139)/('Месяцы_рынки'!H151+'Месяцы_рынки'!H139)</x:f>
        <x:v>7.6123667328083675</x:v>
      </x:c>
      <x:c r="H158" s="19" t="n">
        <x:f>200*('Месяцы_рынки'!I151-'Месяцы_рынки'!I139)/('Месяцы_рынки'!I151+'Месяцы_рынки'!I139)</x:f>
        <x:v>-23.26057876089489</x:v>
      </x:c>
      <x:c r="I158" s="19" t="n">
        <x:f>200*('Месяцы_рынки'!J151-'Месяцы_рынки'!J139)/('Месяцы_рынки'!J151+'Месяцы_рынки'!J139)</x:f>
        <x:v>23.523660652730715</x:v>
      </x:c>
      <x:c r="J158" s="19" t="n">
        <x:f>200*('Месяцы_рынки'!K151-'Месяцы_рынки'!K139)/('Месяцы_рынки'!K151+'Месяцы_рынки'!K139)</x:f>
        <x:v>7.28301769443667</x:v>
      </x:c>
    </x:row>
    <x:row r="159" ht="22" customHeight="1">
      <x:c r="A159" s="20" t="d">
        <x:v>2021-02-01T00:00:00.000Z</x:v>
      </x:c>
      <x:c r="B159" s="19" t="n">
        <x:f>200*('Месяцы_рынки'!C152-'Месяцы_рынки'!C140)/('Месяцы_рынки'!C152+'Месяцы_рынки'!C140)</x:f>
        <x:v>16.707852631324382</x:v>
      </x:c>
      <x:c r="C159" s="19" t="n">
        <x:f>200*('Месяцы_рынки'!D152-'Месяцы_рынки'!D140)/('Месяцы_рынки'!D152+'Месяцы_рынки'!D140)</x:f>
        <x:v>3.027827601367416</x:v>
      </x:c>
      <x:c r="D159" s="19" t="n">
        <x:f>200*('Месяцы_рынки'!E152-'Месяцы_рынки'!E140)/('Месяцы_рынки'!E152+'Месяцы_рынки'!E140)</x:f>
        <x:v>77.2037290598957</x:v>
      </x:c>
      <x:c r="E159" s="19" t="n">
        <x:f>200*('Месяцы_рынки'!F152-'Месяцы_рынки'!F140)/('Месяцы_рынки'!F152+'Месяцы_рынки'!F140)</x:f>
        <x:v>-14.152043396843553</x:v>
      </x:c>
      <x:c r="F159" s="19" t="n">
        <x:f>200*('Месяцы_рынки'!G152-'Месяцы_рынки'!G140)/('Месяцы_рынки'!G152+'Месяцы_рынки'!G140)</x:f>
        <x:v>9.818843956815314</x:v>
      </x:c>
      <x:c r="G159" s="19" t="n">
        <x:f>200*('Месяцы_рынки'!H152-'Месяцы_рынки'!H140)/('Месяцы_рынки'!H152+'Месяцы_рынки'!H140)</x:f>
        <x:v>29.079871709137198</x:v>
      </x:c>
      <x:c r="H159" s="19" t="n">
        <x:f>200*('Месяцы_рынки'!I152-'Месяцы_рынки'!I140)/('Месяцы_рынки'!I152+'Месяцы_рынки'!I140)</x:f>
        <x:v>-2.1016330839439545</x:v>
      </x:c>
      <x:c r="I159" s="19" t="n">
        <x:f>200*('Месяцы_рынки'!J152-'Месяцы_рынки'!J140)/('Месяцы_рынки'!J152+'Месяцы_рынки'!J140)</x:f>
        <x:v>5.962505630947128</x:v>
      </x:c>
      <x:c r="J159" s="19" t="n">
        <x:f>200*('Месяцы_рынки'!K152-'Месяцы_рынки'!K140)/('Месяцы_рынки'!K152+'Месяцы_рынки'!K140)</x:f>
        <x:v>17.806214682105324</x:v>
      </x:c>
    </x:row>
    <x:row r="160" ht="22" customHeight="1">
      <x:c r="A160" s="20" t="d">
        <x:v>2021-03-01T00:00:00.000Z</x:v>
      </x:c>
      <x:c r="B160" s="19" t="n">
        <x:f>200*('Месяцы_рынки'!C153-'Месяцы_рынки'!C141)/('Месяцы_рынки'!C153+'Месяцы_рынки'!C141)</x:f>
        <x:v>11.828627060327145</x:v>
      </x:c>
      <x:c r="C160" s="19" t="n">
        <x:f>200*('Месяцы_рынки'!D153-'Месяцы_рынки'!D141)/('Месяцы_рынки'!D153+'Месяцы_рынки'!D141)</x:f>
        <x:v>6.75820858355999</x:v>
      </x:c>
      <x:c r="D160" s="19" t="n">
        <x:f>200*('Месяцы_рынки'!E153-'Месяцы_рынки'!E141)/('Месяцы_рынки'!E153+'Месяцы_рынки'!E141)</x:f>
        <x:v>69.20573815693297</x:v>
      </x:c>
      <x:c r="E160" s="19" t="n">
        <x:f>200*('Месяцы_рынки'!F153-'Месяцы_рынки'!F141)/('Месяцы_рынки'!F153+'Месяцы_рынки'!F141)</x:f>
        <x:v>-10.595432917954783</x:v>
      </x:c>
      <x:c r="F160" s="19" t="n">
        <x:f>200*('Месяцы_рынки'!G153-'Месяцы_рынки'!G141)/('Месяцы_рынки'!G153+'Месяцы_рынки'!G141)</x:f>
        <x:v>6.977721929850865</x:v>
      </x:c>
      <x:c r="G160" s="19" t="n">
        <x:f>200*('Месяцы_рынки'!H153-'Месяцы_рынки'!H141)/('Месяцы_рынки'!H153+'Месяцы_рынки'!H141)</x:f>
        <x:v>14.394229394653244</x:v>
      </x:c>
      <x:c r="H160" s="19" t="n">
        <x:f>200*('Месяцы_рынки'!I153-'Месяцы_рынки'!I141)/('Месяцы_рынки'!I153+'Месяцы_рынки'!I141)</x:f>
        <x:v>-1.9893528730354404</x:v>
      </x:c>
      <x:c r="I160" s="19" t="n">
        <x:f>200*('Месяцы_рынки'!J153-'Месяцы_рынки'!J141)/('Месяцы_рынки'!J153+'Месяцы_рынки'!J141)</x:f>
        <x:v>33.205254345985075</x:v>
      </x:c>
      <x:c r="J160" s="19" t="n">
        <x:f>200*('Месяцы_рынки'!K153-'Месяцы_рынки'!K141)/('Месяцы_рынки'!K153+'Месяцы_рынки'!K141)</x:f>
        <x:v>16.865912108002053</x:v>
      </x:c>
    </x:row>
    <x:row r="161" ht="22" customHeight="1">
      <x:c r="A161" s="20" t="d">
        <x:v>2021-04-01T00:00:00.000Z</x:v>
      </x:c>
      <x:c r="B161" s="19" t="n">
        <x:f>200*('Месяцы_рынки'!C154-'Месяцы_рынки'!C142)/('Месяцы_рынки'!C154+'Месяцы_рынки'!C142)</x:f>
        <x:v>13.08762427076939</x:v>
      </x:c>
      <x:c r="C161" s="19" t="n">
        <x:f>200*('Месяцы_рынки'!D154-'Месяцы_рынки'!D142)/('Месяцы_рынки'!D154+'Месяцы_рынки'!D142)</x:f>
        <x:v>36.60545106646538</x:v>
      </x:c>
      <x:c r="D161" s="19" t="n">
        <x:f>200*('Месяцы_рынки'!E154-'Месяцы_рынки'!E142)/('Месяцы_рынки'!E154+'Месяцы_рынки'!E142)</x:f>
        <x:v>81.1510515763094</x:v>
      </x:c>
      <x:c r="E161" s="19" t="n">
        <x:f>200*('Месяцы_рынки'!F154-'Месяцы_рынки'!F142)/('Месяцы_рынки'!F154+'Месяцы_рынки'!F142)</x:f>
        <x:v>58.62431091046901</x:v>
      </x:c>
      <x:c r="F161" s="19" t="n">
        <x:f>200*('Месяцы_рынки'!G154-'Месяцы_рынки'!G142)/('Месяцы_рынки'!G154+'Месяцы_рынки'!G142)</x:f>
        <x:v>26.937557951572106</x:v>
      </x:c>
      <x:c r="G161" s="19" t="n">
        <x:f>200*('Месяцы_рынки'!H154-'Месяцы_рынки'!H142)/('Месяцы_рынки'!H154+'Месяцы_рынки'!H142)</x:f>
        <x:v>2.6390121592336233</x:v>
      </x:c>
      <x:c r="H161" s="19" t="n">
        <x:f>200*('Месяцы_рынки'!I154-'Месяцы_рынки'!I142)/('Месяцы_рынки'!I154+'Месяцы_рынки'!I142)</x:f>
        <x:v>7.128277809854427</x:v>
      </x:c>
      <x:c r="I161" s="19" t="n">
        <x:f>200*('Месяцы_рынки'!J154-'Месяцы_рынки'!J142)/('Месяцы_рынки'!J154+'Месяцы_рынки'!J142)</x:f>
        <x:v>35.218663177977</x:v>
      </x:c>
      <x:c r="J161" s="19" t="n">
        <x:f>200*('Месяцы_рынки'!K154-'Месяцы_рынки'!K142)/('Месяцы_рынки'!K154+'Месяцы_рынки'!K142)</x:f>
        <x:v>66.23458864687602</x:v>
      </x:c>
    </x:row>
    <x:row r="162" ht="22" customHeight="1">
      <x:c r="A162" s="20" t="d">
        <x:v>2021-05-01T00:00:00.000Z</x:v>
      </x:c>
      <x:c r="B162" s="19" t="n">
        <x:f>200*('Месяцы_рынки'!C155-'Месяцы_рынки'!C143)/('Месяцы_рынки'!C155+'Месяцы_рынки'!C143)</x:f>
        <x:v>5.423716292397017</x:v>
      </x:c>
      <x:c r="C162" s="19" t="n">
        <x:f>200*('Месяцы_рынки'!D155-'Месяцы_рынки'!D143)/('Месяцы_рынки'!D155+'Месяцы_рынки'!D143)</x:f>
        <x:v>45.93833831813945</x:v>
      </x:c>
      <x:c r="D162" s="19" t="n">
        <x:f>200*('Месяцы_рынки'!E155-'Месяцы_рынки'!E143)/('Месяцы_рынки'!E155+'Месяцы_рынки'!E143)</x:f>
        <x:v>69.35424701660438</x:v>
      </x:c>
      <x:c r="E162" s="19" t="n">
        <x:f>200*('Месяцы_рынки'!F155-'Месяцы_рынки'!F143)/('Месяцы_рынки'!F155+'Месяцы_рынки'!F143)</x:f>
        <x:v>37.648900347064746</x:v>
      </x:c>
      <x:c r="F162" s="19" t="n">
        <x:f>200*('Месяцы_рынки'!G155-'Месяцы_рынки'!G143)/('Месяцы_рынки'!G155+'Месяцы_рынки'!G143)</x:f>
        <x:v>50.71850598628548</x:v>
      </x:c>
      <x:c r="G162" s="19" t="n">
        <x:f>200*('Месяцы_рынки'!H155-'Месяцы_рынки'!H143)/('Месяцы_рынки'!H155+'Месяцы_рынки'!H143)</x:f>
        <x:v>-2.124161768803318</x:v>
      </x:c>
      <x:c r="H162" s="19" t="n">
        <x:f>200*('Месяцы_рынки'!I155-'Месяцы_рынки'!I143)/('Месяцы_рынки'!I155+'Месяцы_рынки'!I143)</x:f>
        <x:v>35.538437840271676</x:v>
      </x:c>
      <x:c r="I162" s="19" t="n">
        <x:f>200*('Месяцы_рынки'!J155-'Месяцы_рынки'!J143)/('Месяцы_рынки'!J155+'Месяцы_рынки'!J143)</x:f>
        <x:v>47.568865799466856</x:v>
      </x:c>
      <x:c r="J162" s="19" t="n">
        <x:f>200*('Месяцы_рынки'!K155-'Месяцы_рынки'!K143)/('Месяцы_рынки'!K155+'Месяцы_рынки'!K143)</x:f>
        <x:v>46.6285906220705</x:v>
      </x:c>
    </x:row>
    <x:row r="163" ht="22" customHeight="1">
      <x:c r="A163" s="20" t="d">
        <x:v>2021-06-01T00:00:00.000Z</x:v>
      </x:c>
      <x:c r="B163" s="19" t="n">
        <x:f>200*('Месяцы_рынки'!C156-'Месяцы_рынки'!C144)/('Месяцы_рынки'!C156+'Месяцы_рынки'!C144)</x:f>
        <x:v>27.726234170986537</x:v>
      </x:c>
      <x:c r="C163" s="19" t="n">
        <x:f>200*('Месяцы_рынки'!D156-'Месяцы_рынки'!D144)/('Месяцы_рынки'!D156+'Месяцы_рынки'!D144)</x:f>
        <x:v>50.88316382746008</x:v>
      </x:c>
      <x:c r="D163" s="19" t="n">
        <x:f>200*('Месяцы_рынки'!E156-'Месяцы_рынки'!E144)/('Месяцы_рынки'!E156+'Месяцы_рынки'!E144)</x:f>
        <x:v>60.242087080086826</x:v>
      </x:c>
      <x:c r="E163" s="19" t="n">
        <x:f>200*('Месяцы_рынки'!F156-'Месяцы_рынки'!F144)/('Месяцы_рынки'!F156+'Месяцы_рынки'!F144)</x:f>
        <x:v>20.60354327582417</x:v>
      </x:c>
      <x:c r="F163" s="19" t="n">
        <x:f>200*('Месяцы_рынки'!G156-'Месяцы_рынки'!G144)/('Месяцы_рынки'!G156+'Месяцы_рынки'!G144)</x:f>
        <x:v>21.778566740488287</x:v>
      </x:c>
      <x:c r="G163" s="19" t="n">
        <x:f>200*('Месяцы_рынки'!H156-'Месяцы_рынки'!H144)/('Месяцы_рынки'!H156+'Месяцы_рынки'!H144)</x:f>
        <x:v>15.870905538358143</x:v>
      </x:c>
      <x:c r="H163" s="19" t="n">
        <x:f>200*('Месяцы_рынки'!I156-'Месяцы_рынки'!I144)/('Месяцы_рынки'!I156+'Месяцы_рынки'!I144)</x:f>
        <x:v>29.261742959241822</x:v>
      </x:c>
      <x:c r="I163" s="19" t="n">
        <x:f>200*('Месяцы_рынки'!J156-'Месяцы_рынки'!J144)/('Месяцы_рынки'!J156+'Месяцы_рынки'!J144)</x:f>
        <x:v>1.5895930146771022</x:v>
      </x:c>
      <x:c r="J163" s="19" t="n">
        <x:f>200*('Месяцы_рынки'!K156-'Месяцы_рынки'!K144)/('Месяцы_рынки'!K156+'Месяцы_рынки'!K144)</x:f>
        <x:v>30.912860069408385</x:v>
      </x:c>
    </x:row>
    <x:row r="164" ht="22" customHeight="1">
      <x:c r="A164" s="20" t="d">
        <x:v>2021-07-01T00:00:00.000Z</x:v>
      </x:c>
      <x:c r="B164" s="19" t="n">
        <x:f>200*('Месяцы_рынки'!C157-'Месяцы_рынки'!C145)/('Месяцы_рынки'!C157+'Месяцы_рынки'!C145)</x:f>
        <x:v>26.842351057478464</x:v>
      </x:c>
      <x:c r="C164" s="19" t="n">
        <x:f>200*('Месяцы_рынки'!D157-'Месяцы_рынки'!D145)/('Месяцы_рынки'!D157+'Месяцы_рынки'!D145)</x:f>
        <x:v>50.35413761316694</x:v>
      </x:c>
      <x:c r="D164" s="19" t="n">
        <x:f>200*('Месяцы_рынки'!E157-'Месяцы_рынки'!E145)/('Месяцы_рынки'!E157+'Месяцы_рынки'!E145)</x:f>
        <x:v>57.49584537228818</x:v>
      </x:c>
      <x:c r="E164" s="19" t="n">
        <x:f>200*('Месяцы_рынки'!F157-'Месяцы_рынки'!F145)/('Месяцы_рынки'!F157+'Месяцы_рынки'!F145)</x:f>
        <x:v>15.509703224047072</x:v>
      </x:c>
      <x:c r="F164" s="19" t="n">
        <x:f>200*('Месяцы_рынки'!G157-'Месяцы_рынки'!G145)/('Месяцы_рынки'!G157+'Месяцы_рынки'!G145)</x:f>
        <x:v>44.5787708153001</x:v>
      </x:c>
      <x:c r="G164" s="19" t="n">
        <x:f>200*('Месяцы_рынки'!H157-'Месяцы_рынки'!H145)/('Месяцы_рынки'!H157+'Месяцы_рынки'!H145)</x:f>
        <x:v>40.23550288938775</x:v>
      </x:c>
      <x:c r="H164" s="19" t="n">
        <x:f>200*('Месяцы_рынки'!I157-'Месяцы_рынки'!I145)/('Месяцы_рынки'!I157+'Месяцы_рынки'!I145)</x:f>
        <x:v>4.116720187751594</x:v>
      </x:c>
      <x:c r="I164" s="19" t="n">
        <x:f>200*('Месяцы_рынки'!J157-'Месяцы_рынки'!J145)/('Месяцы_рынки'!J157+'Месяцы_рынки'!J145)</x:f>
        <x:v>4.579315890355923</x:v>
      </x:c>
      <x:c r="J164" s="19" t="n">
        <x:f>200*('Месяцы_рынки'!K157-'Месяцы_рынки'!K145)/('Месяцы_рынки'!K157+'Месяцы_рынки'!K145)</x:f>
        <x:v>33.87851915051848</x:v>
      </x:c>
    </x:row>
    <x:row r="165" ht="22" customHeight="1">
      <x:c r="A165" s="20" t="d">
        <x:v>2021-08-01T00:00:00.000Z</x:v>
      </x:c>
      <x:c r="B165" s="19" t="n">
        <x:f>200*('Месяцы_рынки'!C158-'Месяцы_рынки'!C146)/('Месяцы_рынки'!C158+'Месяцы_рынки'!C146)</x:f>
        <x:v>24.511175082047647</x:v>
      </x:c>
      <x:c r="C165" s="19" t="n">
        <x:f>200*('Месяцы_рынки'!D158-'Месяцы_рынки'!D146)/('Месяцы_рынки'!D158+'Месяцы_рынки'!D146)</x:f>
        <x:v>61.099931167646005</x:v>
      </x:c>
      <x:c r="D165" s="19" t="n">
        <x:f>200*('Месяцы_рынки'!E158-'Месяцы_рынки'!E146)/('Месяцы_рынки'!E158+'Месяцы_рынки'!E146)</x:f>
        <x:v>50.417885090842475</x:v>
      </x:c>
      <x:c r="E165" s="19" t="n">
        <x:f>200*('Месяцы_рынки'!F158-'Месяцы_рынки'!F146)/('Месяцы_рынки'!F158+'Месяцы_рынки'!F146)</x:f>
        <x:v>20.468811072579513</x:v>
      </x:c>
      <x:c r="F165" s="19" t="n">
        <x:f>200*('Месяцы_рынки'!G158-'Месяцы_рынки'!G146)/('Месяцы_рынки'!G158+'Месяцы_рынки'!G146)</x:f>
        <x:v>57.80484775738609</x:v>
      </x:c>
      <x:c r="G165" s="19" t="n">
        <x:f>200*('Месяцы_рынки'!H158-'Месяцы_рынки'!H146)/('Месяцы_рынки'!H158+'Месяцы_рынки'!H146)</x:f>
        <x:v>57.76352111077521</x:v>
      </x:c>
      <x:c r="H165" s="19" t="n">
        <x:f>200*('Месяцы_рынки'!I158-'Месяцы_рынки'!I146)/('Месяцы_рынки'!I158+'Месяцы_рынки'!I146)</x:f>
        <x:v>7.7335636589017165</x:v>
      </x:c>
      <x:c r="I165" s="19" t="n">
        <x:f>200*('Месяцы_рынки'!J158-'Месяцы_рынки'!J146)/('Месяцы_рынки'!J158+'Месяцы_рынки'!J146)</x:f>
        <x:v>7.888308809494942</x:v>
      </x:c>
      <x:c r="J165" s="19" t="n">
        <x:f>200*('Месяцы_рынки'!K158-'Месяцы_рынки'!K146)/('Месяцы_рынки'!K158+'Месяцы_рынки'!K146)</x:f>
        <x:v>25.205628055823826</x:v>
      </x:c>
    </x:row>
    <x:row r="166" ht="22" customHeight="1">
      <x:c r="A166" s="20" t="d">
        <x:v>2021-09-01T00:00:00.000Z</x:v>
      </x:c>
      <x:c r="B166" s="19" t="n">
        <x:f>200*('Месяцы_рынки'!C159-'Месяцы_рынки'!C147)/('Месяцы_рынки'!C159+'Месяцы_рынки'!C147)</x:f>
        <x:v>22.23482468394964</x:v>
      </x:c>
      <x:c r="C166" s="19" t="n">
        <x:f>200*('Месяцы_рынки'!D159-'Месяцы_рынки'!D147)/('Месяцы_рынки'!D159+'Месяцы_рынки'!D147)</x:f>
        <x:v>41.03978855700598</x:v>
      </x:c>
      <x:c r="D166" s="19" t="n">
        <x:f>200*('Месяцы_рынки'!E159-'Месяцы_рынки'!E147)/('Месяцы_рынки'!E159+'Месяцы_рынки'!E147)</x:f>
        <x:v>35.36582393183672</x:v>
      </x:c>
      <x:c r="E166" s="19" t="n">
        <x:f>200*('Месяцы_рынки'!F159-'Месяцы_рынки'!F147)/('Месяцы_рынки'!F159+'Месяцы_рынки'!F147)</x:f>
        <x:v>30.252574632099154</x:v>
      </x:c>
      <x:c r="F166" s="19" t="n">
        <x:f>200*('Месяцы_рынки'!G159-'Месяцы_рынки'!G147)/('Месяцы_рынки'!G159+'Месяцы_рынки'!G147)</x:f>
        <x:v>54.86081888168225</x:v>
      </x:c>
      <x:c r="G166" s="19" t="n">
        <x:f>200*('Месяцы_рынки'!H159-'Месяцы_рынки'!H147)/('Месяцы_рынки'!H159+'Месяцы_рынки'!H147)</x:f>
        <x:v>38.501273978476306</x:v>
      </x:c>
      <x:c r="H166" s="19" t="n">
        <x:f>200*('Месяцы_рынки'!I159-'Месяцы_рынки'!I147)/('Месяцы_рынки'!I159+'Месяцы_рынки'!I147)</x:f>
        <x:v>19.799987356804827</x:v>
      </x:c>
      <x:c r="I166" s="19" t="n">
        <x:f>200*('Месяцы_рынки'!J159-'Месяцы_рынки'!J147)/('Месяцы_рынки'!J159+'Месяцы_рынки'!J147)</x:f>
        <x:v>38.60818846650753</x:v>
      </x:c>
      <x:c r="J166" s="19" t="n">
        <x:f>200*('Месяцы_рынки'!K159-'Месяцы_рынки'!K147)/('Месяцы_рынки'!K159+'Месяцы_рынки'!K147)</x:f>
        <x:v>4.545297254837562</x:v>
      </x:c>
    </x:row>
    <x:row r="167" ht="22" customHeight="1">
      <x:c r="A167" s="20" t="d">
        <x:v>2021-10-01T00:00:00.000Z</x:v>
      </x:c>
      <x:c r="B167" s="19" t="n">
        <x:f>200*('Месяцы_рынки'!C160-'Месяцы_рынки'!C148)/('Месяцы_рынки'!C160+'Месяцы_рынки'!C148)</x:f>
        <x:v>34.50148115227635</x:v>
      </x:c>
      <x:c r="C167" s="19" t="n">
        <x:f>200*('Месяцы_рынки'!D160-'Месяцы_рынки'!D148)/('Месяцы_рынки'!D160+'Месяцы_рынки'!D148)</x:f>
        <x:v>2.1292731896561117</x:v>
      </x:c>
      <x:c r="D167" s="19" t="n">
        <x:f>200*('Месяцы_рынки'!E160-'Месяцы_рынки'!E148)/('Месяцы_рынки'!E160+'Месяцы_рынки'!E148)</x:f>
        <x:v>32.640296648388365</x:v>
      </x:c>
      <x:c r="E167" s="19" t="n">
        <x:f>200*('Месяцы_рынки'!F160-'Месяцы_рынки'!F148)/('Месяцы_рынки'!F160+'Месяцы_рынки'!F148)</x:f>
        <x:v>23.978606189714085</x:v>
      </x:c>
      <x:c r="F167" s="19" t="n">
        <x:f>200*('Месяцы_рынки'!G160-'Месяцы_рынки'!G148)/('Месяцы_рынки'!G160+'Месяцы_рынки'!G148)</x:f>
        <x:v>53.17772335777814</x:v>
      </x:c>
      <x:c r="G167" s="19" t="n">
        <x:f>200*('Месяцы_рынки'!H160-'Месяцы_рынки'!H148)/('Месяцы_рынки'!H160+'Месяцы_рынки'!H148)</x:f>
        <x:v>33.46859109991205</x:v>
      </x:c>
      <x:c r="H167" s="19" t="n">
        <x:f>200*('Месяцы_рынки'!I160-'Месяцы_рынки'!I148)/('Месяцы_рынки'!I160+'Месяцы_рынки'!I148)</x:f>
        <x:v>30.120833107071395</x:v>
      </x:c>
      <x:c r="I167" s="19" t="n">
        <x:f>200*('Месяцы_рынки'!J160-'Месяцы_рынки'!J148)/('Месяцы_рынки'!J160+'Месяцы_рынки'!J148)</x:f>
        <x:v>16.549539248781063</x:v>
      </x:c>
      <x:c r="J167" s="19" t="n">
        <x:f>200*('Месяцы_рынки'!K160-'Месяцы_рынки'!K148)/('Месяцы_рынки'!K160+'Месяцы_рынки'!K148)</x:f>
        <x:v>10.816041041852134</x:v>
      </x:c>
    </x:row>
    <x:row r="168" ht="22" customHeight="1">
      <x:c r="A168" s="20" t="d">
        <x:v>2021-11-01T00:00:00.000Z</x:v>
      </x:c>
      <x:c r="B168" s="19" t="n">
        <x:f>200*('Месяцы_рынки'!C161-'Месяцы_рынки'!C149)/('Месяцы_рынки'!C161+'Месяцы_рынки'!C149)</x:f>
        <x:v>43.930925340377705</x:v>
      </x:c>
      <x:c r="C168" s="19" t="n">
        <x:f>200*('Месяцы_рынки'!D161-'Месяцы_рынки'!D149)/('Месяцы_рынки'!D161+'Месяцы_рынки'!D149)</x:f>
        <x:v>5.332560863816976</x:v>
      </x:c>
      <x:c r="D168" s="19" t="n">
        <x:f>200*('Месяцы_рынки'!E161-'Месяцы_рынки'!E149)/('Месяцы_рынки'!E161+'Месяцы_рынки'!E149)</x:f>
        <x:v>33.33050764242147</x:v>
      </x:c>
      <x:c r="E168" s="19" t="n">
        <x:f>200*('Месяцы_рынки'!F161-'Месяцы_рынки'!F149)/('Месяцы_рынки'!F161+'Месяцы_рынки'!F149)</x:f>
        <x:v>38.28789409786428</x:v>
      </x:c>
      <x:c r="F168" s="19" t="n">
        <x:f>200*('Месяцы_рынки'!G161-'Месяцы_рынки'!G149)/('Месяцы_рынки'!G161+'Месяцы_рынки'!G149)</x:f>
        <x:v>65.20008440154423</x:v>
      </x:c>
      <x:c r="G168" s="19" t="n">
        <x:f>200*('Месяцы_рынки'!H161-'Месяцы_рынки'!H149)/('Месяцы_рынки'!H161+'Месяцы_рынки'!H149)</x:f>
        <x:v>33.6507212549426</x:v>
      </x:c>
      <x:c r="H168" s="19" t="n">
        <x:f>200*('Месяцы_рынки'!I161-'Месяцы_рынки'!I149)/('Месяцы_рынки'!I161+'Месяцы_рынки'!I149)</x:f>
        <x:v>57.45671274734815</x:v>
      </x:c>
      <x:c r="I168" s="19" t="n">
        <x:f>200*('Месяцы_рынки'!J161-'Месяцы_рынки'!J149)/('Месяцы_рынки'!J161+'Месяцы_рынки'!J149)</x:f>
        <x:v>76.56431135880992</x:v>
      </x:c>
      <x:c r="J168" s="19" t="n">
        <x:f>200*('Месяцы_рынки'!K161-'Месяцы_рынки'!K149)/('Месяцы_рынки'!K161+'Месяцы_рынки'!K149)</x:f>
        <x:v>24.76269335259825</x:v>
      </x:c>
    </x:row>
    <x:row r="169" ht="22" customHeight="1">
      <x:c r="A169" s="20" t="d">
        <x:v>2021-12-01T00:00:00.000Z</x:v>
      </x:c>
      <x:c r="B169" s="19" t="n">
        <x:f>200*('Месяцы_рынки'!C162-'Месяцы_рынки'!C150)/('Месяцы_рынки'!C162+'Месяцы_рынки'!C150)</x:f>
        <x:v>38.54211048091592</x:v>
      </x:c>
      <x:c r="C169" s="19" t="n">
        <x:f>200*('Месяцы_рынки'!D162-'Месяцы_рынки'!D150)/('Месяцы_рынки'!D162+'Месяцы_рынки'!D150)</x:f>
        <x:v>5.287674581554662</x:v>
      </x:c>
      <x:c r="D169" s="19" t="n">
        <x:f>200*('Месяцы_рынки'!E162-'Месяцы_рынки'!E150)/('Месяцы_рынки'!E162+'Месяцы_рынки'!E150)</x:f>
        <x:v>27.359021333615914</x:v>
      </x:c>
      <x:c r="E169" s="19" t="n">
        <x:f>200*('Месяцы_рынки'!F162-'Месяцы_рынки'!F150)/('Месяцы_рынки'!F162+'Месяцы_рынки'!F150)</x:f>
        <x:v>38.35649038786164</x:v>
      </x:c>
      <x:c r="F169" s="19" t="n">
        <x:f>200*('Месяцы_рынки'!G162-'Месяцы_рынки'!G150)/('Месяцы_рынки'!G162+'Месяцы_рынки'!G150)</x:f>
        <x:v>70.3905320803963</x:v>
      </x:c>
      <x:c r="G169" s="19" t="n">
        <x:f>200*('Месяцы_рынки'!H162-'Месяцы_рынки'!H150)/('Месяцы_рынки'!H162+'Месяцы_рынки'!H150)</x:f>
        <x:v>55.765264829069736</x:v>
      </x:c>
      <x:c r="H169" s="19" t="n">
        <x:f>200*('Месяцы_рынки'!I162-'Месяцы_рынки'!I150)/('Месяцы_рынки'!I162+'Месяцы_рынки'!I150)</x:f>
        <x:v>28.209648307893467</x:v>
      </x:c>
      <x:c r="I169" s="19" t="n">
        <x:f>200*('Месяцы_рынки'!J162-'Месяцы_рынки'!J150)/('Месяцы_рынки'!J162+'Месяцы_рынки'!J150)</x:f>
        <x:v>100.78044485144895</x:v>
      </x:c>
      <x:c r="J169" s="19" t="n">
        <x:f>200*('Месяцы_рынки'!K162-'Месяцы_рынки'!K150)/('Месяцы_рынки'!K162+'Месяцы_рынки'!K150)</x:f>
        <x:v>33.738996457397086</x:v>
      </x:c>
    </x:row>
    <x:row r="170" ht="22" customHeight="1">
      <x:c r="A170" s="20" t="d">
        <x:v>2022-01-01T00:00:00.000Z</x:v>
      </x:c>
      <x:c r="B170" s="19" t="n">
        <x:f>200*('Месяцы_рынки'!C163-'Месяцы_рынки'!C151)/('Месяцы_рынки'!C163+'Месяцы_рынки'!C151)</x:f>
        <x:v>31.377969059774102</x:v>
      </x:c>
      <x:c r="C170" s="19" t="n">
        <x:f>200*('Месяцы_рынки'!D163-'Месяцы_рынки'!D151)/('Месяцы_рынки'!D163+'Месяцы_рынки'!D151)</x:f>
        <x:v>-5.4465727683812695</x:v>
      </x:c>
      <x:c r="D170" s="19" t="n">
        <x:f>200*('Месяцы_рынки'!E163-'Месяцы_рынки'!E151)/('Месяцы_рынки'!E163+'Месяцы_рынки'!E151)</x:f>
        <x:v>22.85475112826621</x:v>
      </x:c>
      <x:c r="E170" s="19" t="n">
        <x:f>200*('Месяцы_рынки'!F163-'Месяцы_рынки'!F151)/('Месяцы_рынки'!F163+'Месяцы_рынки'!F151)</x:f>
        <x:v>29.232972099804083</x:v>
      </x:c>
      <x:c r="F170" s="19" t="n">
        <x:f>200*('Месяцы_рынки'!G163-'Месяцы_рынки'!G151)/('Месяцы_рынки'!G163+'Месяцы_рынки'!G151)</x:f>
        <x:v>66.13960715062606</x:v>
      </x:c>
      <x:c r="G170" s="19" t="n">
        <x:f>200*('Месяцы_рынки'!H163-'Месяцы_рынки'!H151)/('Месяцы_рынки'!H163+'Месяцы_рынки'!H151)</x:f>
        <x:v>42.53756398049784</x:v>
      </x:c>
      <x:c r="H170" s="19" t="n">
        <x:f>200*('Месяцы_рынки'!I163-'Месяцы_рынки'!I151)/('Месяцы_рынки'!I163+'Месяцы_рынки'!I151)</x:f>
        <x:v>15.704105311695296</x:v>
      </x:c>
      <x:c r="I170" s="19" t="n">
        <x:f>200*('Месяцы_рынки'!J163-'Месяцы_рынки'!J151)/('Месяцы_рынки'!J163+'Месяцы_рынки'!J151)</x:f>
        <x:v>74.82724268946602</x:v>
      </x:c>
      <x:c r="J170" s="19" t="n">
        <x:f>200*('Месяцы_рынки'!K163-'Месяцы_рынки'!K151)/('Месяцы_рынки'!K163+'Месяцы_рынки'!K151)</x:f>
        <x:v>18.64510181215946</x:v>
      </x:c>
    </x:row>
    <x:row r="171" ht="22" customHeight="1">
      <x:c r="A171" s="20" t="d">
        <x:v>2022-02-01T00:00:00.000Z</x:v>
      </x:c>
      <x:c r="B171" s="19" t="n">
        <x:f>200*('Месяцы_рынки'!C164-'Месяцы_рынки'!C152)/('Месяцы_рынки'!C164+'Месяцы_рынки'!C152)</x:f>
        <x:v>30.721298037517222</x:v>
      </x:c>
      <x:c r="C171" s="19" t="n">
        <x:f>200*('Месяцы_рынки'!D164-'Месяцы_рынки'!D152)/('Месяцы_рынки'!D164+'Месяцы_рынки'!D152)</x:f>
        <x:v>-15.613225975859175</x:v>
      </x:c>
      <x:c r="D171" s="19" t="n">
        <x:f>200*('Месяцы_рынки'!E164-'Месяцы_рынки'!E152)/('Месяцы_рынки'!E164+'Месяцы_рынки'!E152)</x:f>
        <x:v>27.08105510220402</x:v>
      </x:c>
      <x:c r="E171" s="19" t="n">
        <x:f>200*('Месяцы_рынки'!F164-'Месяцы_рынки'!F152)/('Месяцы_рынки'!F164+'Месяцы_рынки'!F152)</x:f>
        <x:v>38.812088806628665</x:v>
      </x:c>
      <x:c r="F171" s="19" t="n">
        <x:f>200*('Месяцы_рынки'!G164-'Месяцы_рынки'!G152)/('Месяцы_рынки'!G164+'Месяцы_рынки'!G152)</x:f>
        <x:v>49.919000101683395</x:v>
      </x:c>
      <x:c r="G171" s="19" t="n">
        <x:f>200*('Месяцы_рынки'!H164-'Месяцы_рынки'!H152)/('Месяцы_рынки'!H164+'Месяцы_рынки'!H152)</x:f>
        <x:v>29.11920151122495</x:v>
      </x:c>
      <x:c r="H171" s="19" t="n">
        <x:f>200*('Месяцы_рынки'!I164-'Месяцы_рынки'!I152)/('Месяцы_рынки'!I164+'Месяцы_рынки'!I152)</x:f>
        <x:v>2.8280133315723592</x:v>
      </x:c>
      <x:c r="I171" s="19" t="n">
        <x:f>200*('Месяцы_рынки'!J164-'Месяцы_рынки'!J152)/('Месяцы_рынки'!J164+'Месяцы_рынки'!J152)</x:f>
        <x:v>23.7198626402276</x:v>
      </x:c>
      <x:c r="J171" s="19" t="n">
        <x:f>200*('Месяцы_рынки'!K164-'Месяцы_рынки'!K152)/('Месяцы_рынки'!K164+'Месяцы_рынки'!K152)</x:f>
        <x:v>15.102359654004049</x:v>
      </x:c>
    </x:row>
    <x:row r="172" ht="22" customHeight="1">
      <x:c r="A172" s="20" t="d">
        <x:v>2022-03-01T00:00:00.000Z</x:v>
      </x:c>
      <x:c r="B172" s="19" t="n">
        <x:f>200*('Месяцы_рынки'!C165-'Месяцы_рынки'!C153)/('Месяцы_рынки'!C165+'Месяцы_рынки'!C153)</x:f>
        <x:v>45.47019985912249</x:v>
      </x:c>
      <x:c r="C172" s="19" t="n">
        <x:f>200*('Месяцы_рынки'!D165-'Месяцы_рынки'!D153)/('Месяцы_рынки'!D165+'Месяцы_рынки'!D153)</x:f>
        <x:v>-16.254822066299788</x:v>
      </x:c>
      <x:c r="D172" s="19" t="n">
        <x:f>200*('Месяцы_рынки'!E165-'Месяцы_рынки'!E153)/('Месяцы_рынки'!E165+'Месяцы_рынки'!E153)</x:f>
        <x:v>43.86691830247032</x:v>
      </x:c>
      <x:c r="E172" s="19" t="n">
        <x:f>200*('Месяцы_рынки'!F165-'Месяцы_рынки'!F153)/('Месяцы_рынки'!F165+'Месяцы_рынки'!F153)</x:f>
        <x:v>49.10674124346289</x:v>
      </x:c>
      <x:c r="F172" s="19" t="n">
        <x:f>200*('Месяцы_рынки'!G165-'Месяцы_рынки'!G153)/('Месяцы_рынки'!G165+'Месяцы_рынки'!G153)</x:f>
        <x:v>48.54023711507508</x:v>
      </x:c>
      <x:c r="G172" s="19" t="n">
        <x:f>200*('Месяцы_рынки'!H165-'Месяцы_рынки'!H153)/('Месяцы_рынки'!H165+'Месяцы_рынки'!H153)</x:f>
        <x:v>16.785545689685787</x:v>
      </x:c>
      <x:c r="H172" s="19" t="n">
        <x:f>200*('Месяцы_рынки'!I165-'Месяцы_рынки'!I153)/('Месяцы_рынки'!I165+'Месяцы_рынки'!I153)</x:f>
        <x:v>8.889112187833604</x:v>
      </x:c>
      <x:c r="I172" s="19" t="n">
        <x:f>200*('Месяцы_рынки'!J165-'Месяцы_рынки'!J153)/('Месяцы_рынки'!J165+'Месяцы_рынки'!J153)</x:f>
        <x:v>50.582820807110465</x:v>
      </x:c>
      <x:c r="J172" s="19" t="n">
        <x:f>200*('Месяцы_рынки'!K165-'Месяцы_рынки'!K153)/('Месяцы_рынки'!K165+'Месяцы_рынки'!K153)</x:f>
        <x:v>40.74333594214422</x:v>
      </x:c>
    </x:row>
    <x:row r="173" ht="22" customHeight="1">
      <x:c r="A173" s="20" t="d">
        <x:v>2022-04-01T00:00:00.000Z</x:v>
      </x:c>
      <x:c r="B173" s="19" t="n">
        <x:f>200*('Месяцы_рынки'!C166-'Месяцы_рынки'!C154)/('Месяцы_рынки'!C166+'Месяцы_рынки'!C154)</x:f>
        <x:v>17.798109890010718</x:v>
      </x:c>
      <x:c r="C173" s="19" t="n">
        <x:f>200*('Месяцы_рынки'!D166-'Месяцы_рынки'!D154)/('Месяцы_рынки'!D166+'Месяцы_рынки'!D154)</x:f>
        <x:v>-27.15110300532763</x:v>
      </x:c>
      <x:c r="D173" s="19" t="n">
        <x:f>200*('Месяцы_рынки'!E166-'Месяцы_рынки'!E154)/('Месяцы_рынки'!E166+'Месяцы_рынки'!E154)</x:f>
        <x:v>36.187176622008494</x:v>
      </x:c>
      <x:c r="E173" s="19" t="n">
        <x:f>200*('Месяцы_рынки'!F166-'Месяцы_рынки'!F154)/('Месяцы_рынки'!F166+'Месяцы_рынки'!F154)</x:f>
        <x:v>34.08907761238895</x:v>
      </x:c>
      <x:c r="F173" s="19" t="n">
        <x:f>200*('Месяцы_рынки'!G166-'Месяцы_рынки'!G154)/('Месяцы_рынки'!G166+'Месяцы_рынки'!G154)</x:f>
        <x:v>61.1880414523052</x:v>
      </x:c>
      <x:c r="G173" s="19" t="n">
        <x:f>200*('Месяцы_рынки'!H166-'Месяцы_рынки'!H154)/('Месяцы_рынки'!H166+'Месяцы_рынки'!H154)</x:f>
        <x:v>40.769038589987694</x:v>
      </x:c>
      <x:c r="H173" s="19" t="n">
        <x:f>200*('Месяцы_рынки'!I166-'Месяцы_рынки'!I154)/('Месяцы_рынки'!I166+'Месяцы_рынки'!I154)</x:f>
        <x:v>35.652782075440854</x:v>
      </x:c>
      <x:c r="I173" s="19" t="n">
        <x:f>200*('Месяцы_рынки'!J166-'Месяцы_рынки'!J154)/('Месяцы_рынки'!J166+'Месяцы_рынки'!J154)</x:f>
        <x:v>25.28619232789374</x:v>
      </x:c>
      <x:c r="J173" s="19" t="n">
        <x:f>200*('Месяцы_рынки'!K166-'Месяцы_рынки'!K154)/('Месяцы_рынки'!K166+'Месяцы_рынки'!K154)</x:f>
        <x:v>39.85923973360252</x:v>
      </x:c>
    </x:row>
    <x:row r="174" ht="22" customHeight="1">
      <x:c r="A174" s="20" t="d">
        <x:v>2022-05-01T00:00:00.000Z</x:v>
      </x:c>
      <x:c r="B174" s="19" t="n">
        <x:f>200*('Месяцы_рынки'!C167-'Месяцы_рынки'!C155)/('Месяцы_рынки'!C167+'Месяцы_рынки'!C155)</x:f>
        <x:v>9.871712301754702</x:v>
      </x:c>
      <x:c r="C174" s="19" t="n">
        <x:f>200*('Месяцы_рынки'!D167-'Месяцы_рынки'!D155)/('Месяцы_рынки'!D167+'Месяцы_рынки'!D155)</x:f>
        <x:v>-19.100758115994378</x:v>
      </x:c>
      <x:c r="D174" s="19" t="n">
        <x:f>200*('Месяцы_рынки'!E167-'Месяцы_рынки'!E155)/('Месяцы_рынки'!E167+'Месяцы_рынки'!E155)</x:f>
        <x:v>35.397359383716136</x:v>
      </x:c>
      <x:c r="E174" s="19" t="n">
        <x:f>200*('Месяцы_рынки'!F167-'Месяцы_рынки'!F155)/('Месяцы_рынки'!F167+'Месяцы_рынки'!F155)</x:f>
        <x:v>40.211884913061375</x:v>
      </x:c>
      <x:c r="F174" s="19" t="n">
        <x:f>200*('Месяцы_рынки'!G167-'Месяцы_рынки'!G155)/('Месяцы_рынки'!G167+'Месяцы_рынки'!G155)</x:f>
        <x:v>38.978331550104166</x:v>
      </x:c>
      <x:c r="G174" s="19" t="n">
        <x:f>200*('Месяцы_рынки'!H167-'Месяцы_рынки'!H155)/('Месяцы_рынки'!H167+'Месяцы_рынки'!H155)</x:f>
        <x:v>19.95463945656027</x:v>
      </x:c>
      <x:c r="H174" s="19" t="n">
        <x:f>200*('Месяцы_рынки'!I167-'Месяцы_рынки'!I155)/('Месяцы_рынки'!I167+'Месяцы_рынки'!I155)</x:f>
        <x:v>-29.74676350202245</x:v>
      </x:c>
      <x:c r="I174" s="19" t="n">
        <x:f>200*('Месяцы_рынки'!J167-'Месяцы_рынки'!J155)/('Месяцы_рынки'!J167+'Месяцы_рынки'!J155)</x:f>
        <x:v>-11.142927677434415</x:v>
      </x:c>
      <x:c r="J174" s="19" t="n">
        <x:f>200*('Месяцы_рынки'!K167-'Месяцы_рынки'!K155)/('Месяцы_рынки'!K167+'Месяцы_рынки'!K155)</x:f>
        <x:v>45.28887207264673</x:v>
      </x:c>
    </x:row>
    <x:row r="175" ht="22" customHeight="1">
      <x:c r="A175" s="20" t="d">
        <x:v>2022-06-01T00:00:00.000Z</x:v>
      </x:c>
      <x:c r="B175" s="19" t="n">
        <x:f>200*('Месяцы_рынки'!C168-'Месяцы_рынки'!C156)/('Месяцы_рынки'!C168+'Месяцы_рынки'!C156)</x:f>
        <x:v>12.583158124591538</x:v>
      </x:c>
      <x:c r="C175" s="19" t="n">
        <x:f>200*('Месяцы_рынки'!D168-'Месяцы_рынки'!D156)/('Месяцы_рынки'!D168+'Месяцы_рынки'!D156)</x:f>
        <x:v>-23.209373481441926</x:v>
      </x:c>
      <x:c r="D175" s="19" t="n">
        <x:f>200*('Месяцы_рынки'!E168-'Месяцы_рынки'!E156)/('Месяцы_рынки'!E168+'Месяцы_рынки'!E156)</x:f>
        <x:v>30.954444168840222</x:v>
      </x:c>
      <x:c r="E175" s="19" t="n">
        <x:f>200*('Месяцы_рынки'!F168-'Месяцы_рынки'!F156)/('Месяцы_рынки'!F168+'Месяцы_рынки'!F156)</x:f>
        <x:v>25.73915604865421</x:v>
      </x:c>
      <x:c r="F175" s="19" t="n">
        <x:f>200*('Месяцы_рынки'!G168-'Месяцы_рынки'!G156)/('Месяцы_рынки'!G168+'Месяцы_рынки'!G156)</x:f>
        <x:v>51.17850370062953</x:v>
      </x:c>
      <x:c r="G175" s="19" t="n">
        <x:f>200*('Месяцы_рынки'!H168-'Месяцы_рынки'!H156)/('Месяцы_рынки'!H168+'Месяцы_рынки'!H156)</x:f>
        <x:v>46.98024747333616</x:v>
      </x:c>
      <x:c r="H175" s="19" t="n">
        <x:f>200*('Месяцы_рынки'!I168-'Месяцы_рынки'!I156)/('Месяцы_рынки'!I168+'Месяцы_рынки'!I156)</x:f>
        <x:v>-14.715325294945924</x:v>
      </x:c>
      <x:c r="I175" s="19" t="n">
        <x:f>200*('Месяцы_рынки'!J168-'Месяцы_рынки'!J156)/('Месяцы_рынки'!J168+'Месяцы_рынки'!J156)</x:f>
        <x:v>34.38289202954687</x:v>
      </x:c>
      <x:c r="J175" s="19" t="n">
        <x:f>200*('Месяцы_рынки'!K168-'Месяцы_рынки'!K156)/('Месяцы_рынки'!K168+'Месяцы_рынки'!K156)</x:f>
        <x:v>14.82494239115688</x:v>
      </x:c>
    </x:row>
    <x:row r="176" ht="22" customHeight="1">
      <x:c r="A176" s="20" t="d">
        <x:v>2022-07-01T00:00:00.000Z</x:v>
      </x:c>
      <x:c r="B176" s="19" t="n">
        <x:f>200*('Месяцы_рынки'!C169-'Месяцы_рынки'!C157)/('Месяцы_рынки'!C169+'Месяцы_рынки'!C157)</x:f>
        <x:v>18.287933592453857</x:v>
      </x:c>
      <x:c r="C176" s="19" t="n">
        <x:f>200*('Месяцы_рынки'!D169-'Месяцы_рынки'!D157)/('Месяцы_рынки'!D169+'Месяцы_рынки'!D157)</x:f>
        <x:v>-59.40270041578603</x:v>
      </x:c>
      <x:c r="D176" s="19" t="n">
        <x:f>200*('Месяцы_рынки'!E169-'Месяцы_рынки'!E157)/('Месяцы_рынки'!E169+'Месяцы_рынки'!E157)</x:f>
        <x:v>11.798735934984919</x:v>
      </x:c>
      <x:c r="E176" s="19" t="n">
        <x:f>200*('Месяцы_рынки'!F169-'Месяцы_рынки'!F157)/('Месяцы_рынки'!F169+'Месяцы_рынки'!F157)</x:f>
        <x:v>18.279003976950424</x:v>
      </x:c>
      <x:c r="F176" s="19" t="n">
        <x:f>200*('Месяцы_рынки'!G169-'Месяцы_рынки'!G157)/('Месяцы_рынки'!G169+'Месяцы_рынки'!G157)</x:f>
        <x:v>71.0111716933423</x:v>
      </x:c>
      <x:c r="G176" s="19" t="n">
        <x:f>200*('Месяцы_рынки'!H169-'Месяцы_рынки'!H157)/('Месяцы_рынки'!H169+'Месяцы_рынки'!H157)</x:f>
        <x:v>-4.02162841658757</x:v>
      </x:c>
      <x:c r="H176" s="19" t="n">
        <x:f>200*('Месяцы_рынки'!I169-'Месяцы_рынки'!I157)/('Месяцы_рынки'!I169+'Месяцы_рынки'!I157)</x:f>
        <x:v>0.24510852562342766</x:v>
      </x:c>
      <x:c r="I176" s="19" t="n">
        <x:f>200*('Месяцы_рынки'!J169-'Месяцы_рынки'!J157)/('Месяцы_рынки'!J169+'Месяцы_рынки'!J157)</x:f>
        <x:v>53.3072518504324</x:v>
      </x:c>
      <x:c r="J176" s="19" t="n">
        <x:f>200*('Месяцы_рынки'!K169-'Месяцы_рынки'!K157)/('Месяцы_рынки'!K169+'Месяцы_рынки'!K157)</x:f>
        <x:v>6.635035174600955</x:v>
      </x:c>
    </x:row>
    <x:row r="177" ht="22" customHeight="1">
      <x:c r="A177" s="20" t="d">
        <x:v>2022-08-01T00:00:00.000Z</x:v>
      </x:c>
      <x:c r="B177" s="19" t="n">
        <x:f>200*('Месяцы_рынки'!C170-'Месяцы_рынки'!C158)/('Месяцы_рынки'!C170+'Месяцы_рынки'!C158)</x:f>
        <x:v>-0.9435909161680275</x:v>
      </x:c>
      <x:c r="C177" s="19" t="n">
        <x:f>200*('Месяцы_рынки'!D170-'Месяцы_рынки'!D158)/('Месяцы_рынки'!D170+'Месяцы_рынки'!D158)</x:f>
        <x:v>-56.685276408888406</x:v>
      </x:c>
      <x:c r="D177" s="19" t="n">
        <x:f>200*('Месяцы_рынки'!E170-'Месяцы_рынки'!E158)/('Месяцы_рынки'!E170+'Месяцы_рынки'!E158)</x:f>
        <x:v>22.72823940427191</x:v>
      </x:c>
      <x:c r="E177" s="19" t="n">
        <x:f>200*('Месяцы_рынки'!F170-'Месяцы_рынки'!F158)/('Месяцы_рынки'!F170+'Месяцы_рынки'!F158)</x:f>
        <x:v>1.846004663665439</x:v>
      </x:c>
      <x:c r="F177" s="19" t="n">
        <x:f>200*('Месяцы_рынки'!G170-'Месяцы_рынки'!G158)/('Месяцы_рынки'!G170+'Месяцы_рынки'!G158)</x:f>
        <x:v>70.65480109519889</x:v>
      </x:c>
      <x:c r="G177" s="19" t="n">
        <x:f>200*('Месяцы_рынки'!H170-'Месяцы_рынки'!H158)/('Месяцы_рынки'!H170+'Месяцы_рынки'!H158)</x:f>
        <x:v>-29.422384784966116</x:v>
      </x:c>
      <x:c r="H177" s="19" t="n">
        <x:f>200*('Месяцы_рынки'!I170-'Месяцы_рынки'!I158)/('Месяцы_рынки'!I170+'Месяцы_рынки'!I158)</x:f>
        <x:v>-10.920578284810643</x:v>
      </x:c>
      <x:c r="I177" s="19" t="n">
        <x:f>200*('Месяцы_рынки'!J170-'Месяцы_рынки'!J158)/('Месяцы_рынки'!J170+'Месяцы_рынки'!J158)</x:f>
        <x:v>3.600449163870135</x:v>
      </x:c>
      <x:c r="J177" s="19" t="n">
        <x:f>200*('Месяцы_рынки'!K170-'Месяцы_рынки'!K158)/('Месяцы_рынки'!K170+'Месяцы_рынки'!K158)</x:f>
        <x:v>27.28487458174378</x:v>
      </x:c>
    </x:row>
    <x:row r="178" ht="22" customHeight="1">
      <x:c r="A178" s="20" t="d">
        <x:v>2022-09-01T00:00:00.000Z</x:v>
      </x:c>
      <x:c r="B178" s="19" t="n">
        <x:f>200*('Месяцы_рынки'!C171-'Месяцы_рынки'!C159)/('Месяцы_рынки'!C171+'Месяцы_рынки'!C159)</x:f>
        <x:v>2.0458942987727147</x:v>
      </x:c>
      <x:c r="C178" s="19" t="n">
        <x:f>200*('Месяцы_рынки'!D171-'Месяцы_рынки'!D159)/('Месяцы_рынки'!D171+'Месяцы_рынки'!D159)</x:f>
        <x:v>-37.677192345215104</x:v>
      </x:c>
      <x:c r="D178" s="19" t="n">
        <x:f>200*('Месяцы_рынки'!E171-'Месяцы_рынки'!E159)/('Месяцы_рынки'!E171+'Месяцы_рынки'!E159)</x:f>
        <x:v>3.2625582099900665</x:v>
      </x:c>
      <x:c r="E178" s="19" t="n">
        <x:f>200*('Месяцы_рынки'!F171-'Месяцы_рынки'!F159)/('Месяцы_рынки'!F171+'Месяцы_рынки'!F159)</x:f>
        <x:v>-8.699378546161356</x:v>
      </x:c>
      <x:c r="F178" s="19" t="n">
        <x:f>200*('Месяцы_рынки'!G171-'Месяцы_рынки'!G159)/('Месяцы_рынки'!G171+'Месяцы_рынки'!G159)</x:f>
        <x:v>32.072547349761216</x:v>
      </x:c>
      <x:c r="G178" s="19" t="n">
        <x:f>200*('Месяцы_рынки'!H171-'Месяцы_рынки'!H159)/('Месяцы_рынки'!H171+'Месяцы_рынки'!H159)</x:f>
        <x:v>-39.20650182109006</x:v>
      </x:c>
      <x:c r="H178" s="19" t="n">
        <x:f>200*('Месяцы_рынки'!I171-'Месяцы_рынки'!I159)/('Месяцы_рынки'!I171+'Месяцы_рынки'!I159)</x:f>
        <x:v>6.57086758312862</x:v>
      </x:c>
      <x:c r="I178" s="19" t="n">
        <x:f>200*('Месяцы_рынки'!J171-'Месяцы_рынки'!J159)/('Месяцы_рынки'!J171+'Месяцы_рынки'!J159)</x:f>
        <x:v>11.349764783885508</x:v>
      </x:c>
      <x:c r="J178" s="19" t="n">
        <x:f>200*('Месяцы_рынки'!K171-'Месяцы_рынки'!K159)/('Месяцы_рынки'!K171+'Месяцы_рынки'!K159)</x:f>
        <x:v>24.6610694657896</x:v>
      </x:c>
    </x:row>
    <x:row r="179" ht="22" customHeight="1">
      <x:c r="A179" s="20" t="d">
        <x:v>2022-10-01T00:00:00.000Z</x:v>
      </x:c>
      <x:c r="B179" s="19" t="n">
        <x:f>200*('Месяцы_рынки'!C172-'Месяцы_рынки'!C160)/('Месяцы_рынки'!C172+'Месяцы_рынки'!C160)</x:f>
        <x:v>-23.2192753161413</x:v>
      </x:c>
      <x:c r="C179" s="19" t="n">
        <x:f>200*('Месяцы_рынки'!D172-'Месяцы_рынки'!D160)/('Месяцы_рынки'!D172+'Месяцы_рынки'!D160)</x:f>
        <x:v>-26.842337470864365</x:v>
      </x:c>
      <x:c r="D179" s="19" t="n">
        <x:f>200*('Месяцы_рынки'!E172-'Месяцы_рынки'!E160)/('Месяцы_рынки'!E172+'Месяцы_рынки'!E160)</x:f>
        <x:v>-17.25578343063647</x:v>
      </x:c>
      <x:c r="E179" s="19" t="n">
        <x:f>200*('Месяцы_рынки'!F172-'Месяцы_рынки'!F160)/('Месяцы_рынки'!F172+'Месяцы_рынки'!F160)</x:f>
        <x:v>13.969001942204304</x:v>
      </x:c>
      <x:c r="F179" s="19" t="n">
        <x:f>200*('Месяцы_рынки'!G172-'Месяцы_рынки'!G160)/('Месяцы_рынки'!G172+'Месяцы_рынки'!G160)</x:f>
        <x:v>38.911802494192315</x:v>
      </x:c>
      <x:c r="G179" s="19" t="n">
        <x:f>200*('Месяцы_рынки'!H172-'Месяцы_рынки'!H160)/('Месяцы_рынки'!H172+'Месяцы_рынки'!H160)</x:f>
        <x:v>-46.00445184690505</x:v>
      </x:c>
      <x:c r="H179" s="19" t="n">
        <x:f>200*('Месяцы_рынки'!I172-'Месяцы_рынки'!I160)/('Месяцы_рынки'!I172+'Месяцы_рынки'!I160)</x:f>
        <x:v>-38.12208901349721</x:v>
      </x:c>
      <x:c r="I179" s="19" t="n">
        <x:f>200*('Месяцы_рынки'!J172-'Месяцы_рынки'!J160)/('Месяцы_рынки'!J172+'Месяцы_рынки'!J160)</x:f>
        <x:v>2.4747785631960366</x:v>
      </x:c>
      <x:c r="J179" s="19" t="n">
        <x:f>200*('Месяцы_рынки'!K172-'Месяцы_рынки'!K160)/('Месяцы_рынки'!K172+'Месяцы_рынки'!K160)</x:f>
        <x:v>12.598513544878973</x:v>
      </x:c>
    </x:row>
    <x:row r="180" ht="22" customHeight="1">
      <x:c r="A180" s="20" t="d">
        <x:v>2022-11-01T00:00:00.000Z</x:v>
      </x:c>
      <x:c r="B180" s="19" t="n">
        <x:f>200*('Месяцы_рынки'!C173-'Месяцы_рынки'!C161)/('Месяцы_рынки'!C173+'Месяцы_рынки'!C161)</x:f>
        <x:v>-42.463035397412575</x:v>
      </x:c>
      <x:c r="C180" s="19" t="n">
        <x:f>200*('Месяцы_рынки'!D173-'Месяцы_рынки'!D161)/('Месяцы_рынки'!D173+'Месяцы_рынки'!D161)</x:f>
        <x:v>-53.3853481864897</x:v>
      </x:c>
      <x:c r="D180" s="19" t="n">
        <x:f>200*('Месяцы_рынки'!E173-'Месяцы_рынки'!E161)/('Месяцы_рынки'!E173+'Месяцы_рынки'!E161)</x:f>
        <x:v>-12.32701618691361</x:v>
      </x:c>
      <x:c r="E180" s="19" t="n">
        <x:f>200*('Месяцы_рынки'!F173-'Месяцы_рынки'!F161)/('Месяцы_рынки'!F173+'Месяцы_рынки'!F161)</x:f>
        <x:v>-8.043758296150285</x:v>
      </x:c>
      <x:c r="F180" s="19" t="n">
        <x:f>200*('Месяцы_рынки'!G173-'Месяцы_рынки'!G161)/('Месяцы_рынки'!G173+'Месяцы_рынки'!G161)</x:f>
        <x:v>41.20271807528472</x:v>
      </x:c>
      <x:c r="G180" s="19" t="n">
        <x:f>200*('Месяцы_рынки'!H173-'Месяцы_рынки'!H161)/('Месяцы_рынки'!H173+'Месяцы_рынки'!H161)</x:f>
        <x:v>-57.4705997274871</x:v>
      </x:c>
      <x:c r="H180" s="19" t="n">
        <x:f>200*('Месяцы_рынки'!I173-'Месяцы_рынки'!I161)/('Месяцы_рынки'!I173+'Месяцы_рынки'!I161)</x:f>
        <x:v>-32.88688103800149</x:v>
      </x:c>
      <x:c r="I180" s="19" t="n">
        <x:f>200*('Месяцы_рынки'!J173-'Месяцы_рынки'!J161)/('Месяцы_рынки'!J173+'Месяцы_рынки'!J161)</x:f>
        <x:v>-3.926763071247211</x:v>
      </x:c>
      <x:c r="J180" s="19" t="n">
        <x:f>200*('Месяцы_рынки'!K173-'Месяцы_рынки'!K161)/('Месяцы_рынки'!K173+'Месяцы_рынки'!K161)</x:f>
        <x:v>5.70090838465865</x:v>
      </x:c>
    </x:row>
    <x:row r="181" ht="22" customHeight="1">
      <x:c r="A181" s="20" t="d">
        <x:v>2022-12-01T00:00:00.000Z</x:v>
      </x:c>
      <x:c r="B181" s="19" t="n">
        <x:f>200*('Месяцы_рынки'!C174-'Месяцы_рынки'!C162)/('Месяцы_рынки'!C174+'Месяцы_рынки'!C162)</x:f>
        <x:v>-43.7132884546138</x:v>
      </x:c>
      <x:c r="C181" s="19" t="n">
        <x:f>200*('Месяцы_рынки'!D174-'Месяцы_рынки'!D162)/('Месяцы_рынки'!D174+'Месяцы_рынки'!D162)</x:f>
        <x:v>-70.58335257179344</x:v>
      </x:c>
      <x:c r="D181" s="19" t="n">
        <x:f>200*('Месяцы_рынки'!E174-'Месяцы_рынки'!E162)/('Месяцы_рынки'!E174+'Месяцы_рынки'!E162)</x:f>
        <x:v>-18.564460641093053</x:v>
      </x:c>
      <x:c r="E181" s="19" t="n">
        <x:f>200*('Месяцы_рынки'!F174-'Месяцы_рынки'!F162)/('Месяцы_рынки'!F174+'Месяцы_рынки'!F162)</x:f>
        <x:v>5.960249136613178</x:v>
      </x:c>
      <x:c r="F181" s="19" t="n">
        <x:f>200*('Месяцы_рынки'!G174-'Месяцы_рынки'!G162)/('Месяцы_рынки'!G174+'Месяцы_рынки'!G162)</x:f>
        <x:v>3.5877473144899272</x:v>
      </x:c>
      <x:c r="G181" s="19" t="n">
        <x:f>200*('Месяцы_рынки'!H174-'Месяцы_рынки'!H162)/('Месяцы_рынки'!H174+'Месяцы_рынки'!H162)</x:f>
        <x:v>-56.2469101835665</x:v>
      </x:c>
      <x:c r="H181" s="19" t="n">
        <x:f>200*('Месяцы_рынки'!I174-'Месяцы_рынки'!I162)/('Месяцы_рынки'!I174+'Месяцы_рынки'!I162)</x:f>
        <x:v>-67.9196053323858</x:v>
      </x:c>
      <x:c r="I181" s="19" t="n">
        <x:f>200*('Месяцы_рынки'!J174-'Месяцы_рынки'!J162)/('Месяцы_рынки'!J174+'Месяцы_рынки'!J162)</x:f>
        <x:v>-37.551312335455975</x:v>
      </x:c>
      <x:c r="J181" s="19" t="n">
        <x:f>200*('Месяцы_рынки'!K174-'Месяцы_рынки'!K162)/('Месяцы_рынки'!K174+'Месяцы_рынки'!K162)</x:f>
        <x:v>17.931830586500183</x:v>
      </x:c>
    </x:row>
    <x:row r="182" ht="22" customHeight="1">
      <x:c r="A182" s="20" t="d">
        <x:v>2023-01-01T00:00:00.000Z</x:v>
      </x:c>
      <x:c r="B182" s="19" t="n">
        <x:f>200*('Месяцы_рынки'!C175-'Месяцы_рынки'!C163)/('Месяцы_рынки'!C175+'Месяцы_рынки'!C163)</x:f>
        <x:v>-58.935174284749515</x:v>
      </x:c>
      <x:c r="C182" s="19" t="n">
        <x:f>200*('Месяцы_рынки'!D175-'Месяцы_рынки'!D163)/('Месяцы_рынки'!D175+'Месяцы_рынки'!D163)</x:f>
        <x:v>-80.05757983672369</x:v>
      </x:c>
      <x:c r="D182" s="19" t="n">
        <x:f>200*('Месяцы_рынки'!E175-'Месяцы_рынки'!E163)/('Месяцы_рынки'!E175+'Месяцы_рынки'!E163)</x:f>
        <x:v>-58.40287475417562</x:v>
      </x:c>
      <x:c r="E182" s="19" t="n">
        <x:f>200*('Месяцы_рынки'!F175-'Месяцы_рынки'!F163)/('Месяцы_рынки'!F175+'Месяцы_рынки'!F163)</x:f>
        <x:v>-41.6055173518485</x:v>
      </x:c>
      <x:c r="F182" s="19" t="n">
        <x:f>200*('Месяцы_рынки'!G175-'Месяцы_рынки'!G163)/('Месяцы_рынки'!G175+'Месяцы_рынки'!G163)</x:f>
        <x:v>-16.086519499971285</x:v>
      </x:c>
      <x:c r="G182" s="19" t="n">
        <x:f>200*('Месяцы_рынки'!H175-'Месяцы_рынки'!H163)/('Месяцы_рынки'!H175+'Месяцы_рынки'!H163)</x:f>
        <x:v>-91.64216164215674</x:v>
      </x:c>
      <x:c r="H182" s="19" t="n">
        <x:f>200*('Месяцы_рынки'!I175-'Месяцы_рынки'!I163)/('Месяцы_рынки'!I175+'Месяцы_рынки'!I163)</x:f>
        <x:v>-53.4783480336003</x:v>
      </x:c>
      <x:c r="I182" s="19" t="n">
        <x:f>200*('Месяцы_рынки'!J175-'Месяцы_рынки'!J163)/('Месяцы_рынки'!J175+'Месяцы_рынки'!J163)</x:f>
        <x:v>-44.253581201595836</x:v>
      </x:c>
      <x:c r="J182" s="19" t="n">
        <x:f>200*('Месяцы_рынки'!K175-'Месяцы_рынки'!K163)/('Месяцы_рынки'!K175+'Месяцы_рынки'!K163)</x:f>
        <x:v>-11.626908390665541</x:v>
      </x:c>
    </x:row>
    <x:row r="183" ht="22" customHeight="1">
      <x:c r="A183" s="20" t="d">
        <x:v>2023-02-01T00:00:00.000Z</x:v>
      </x:c>
      <x:c r="B183" s="19" t="n">
        <x:f>200*('Месяцы_рынки'!C176-'Месяцы_рынки'!C164)/('Месяцы_рынки'!C176+'Месяцы_рынки'!C164)</x:f>
        <x:v>-48.99040466160394</x:v>
      </x:c>
      <x:c r="C183" s="19" t="n">
        <x:f>200*('Месяцы_рынки'!D176-'Месяцы_рынки'!D164)/('Месяцы_рынки'!D176+'Месяцы_рынки'!D164)</x:f>
        <x:v>-84.72609837331265</x:v>
      </x:c>
      <x:c r="D183" s="19" t="n">
        <x:f>200*('Месяцы_рынки'!E176-'Месяцы_рынки'!E164)/('Месяцы_рынки'!E176+'Месяцы_рынки'!E164)</x:f>
        <x:v>-60.8481273182371</x:v>
      </x:c>
      <x:c r="E183" s="19" t="n">
        <x:f>200*('Месяцы_рынки'!F176-'Месяцы_рынки'!F164)/('Месяцы_рынки'!F176+'Месяцы_рынки'!F164)</x:f>
        <x:v>-44.9065109274982</x:v>
      </x:c>
      <x:c r="F183" s="19" t="n">
        <x:f>200*('Месяцы_рынки'!G176-'Месяцы_рынки'!G164)/('Месяцы_рынки'!G176+'Месяцы_рынки'!G164)</x:f>
        <x:v>-47.66647358913673</x:v>
      </x:c>
      <x:c r="G183" s="19" t="n">
        <x:f>200*('Месяцы_рынки'!H176-'Месяцы_рынки'!H164)/('Месяцы_рынки'!H176+'Месяцы_рынки'!H164)</x:f>
        <x:v>-86.22326789084148</x:v>
      </x:c>
      <x:c r="H183" s="19" t="n">
        <x:f>200*('Месяцы_рынки'!I176-'Месяцы_рынки'!I164)/('Месяцы_рынки'!I176+'Месяцы_рынки'!I164)</x:f>
        <x:v>-53.47238050934477</x:v>
      </x:c>
      <x:c r="I183" s="19" t="n">
        <x:f>200*('Месяцы_рынки'!J176-'Месяцы_рынки'!J164)/('Месяцы_рынки'!J176+'Месяцы_рынки'!J164)</x:f>
        <x:v>14.427242005998336</x:v>
      </x:c>
      <x:c r="J183" s="19" t="n">
        <x:f>200*('Месяцы_рынки'!K176-'Месяцы_рынки'!K164)/('Месяцы_рынки'!K176+'Месяцы_рынки'!K164)</x:f>
        <x:v>0.9368601694373014</x:v>
      </x:c>
    </x:row>
    <x:row r="184" ht="22" customHeight="1">
      <x:c r="A184" s="20" t="d">
        <x:v>2023-03-01T00:00:00.000Z</x:v>
      </x:c>
      <x:c r="B184" s="19" t="n">
        <x:f>200*('Месяцы_рынки'!C177-'Месяцы_рынки'!C165)/('Месяцы_рынки'!C177+'Месяцы_рынки'!C165)</x:f>
        <x:v>-66.42460431743285</x:v>
      </x:c>
      <x:c r="C184" s="19" t="n">
        <x:f>200*('Месяцы_рынки'!D177-'Месяцы_рынки'!D165)/('Месяцы_рынки'!D177+'Месяцы_рынки'!D165)</x:f>
        <x:v>-25.138756719316426</x:v>
      </x:c>
      <x:c r="D184" s="19" t="n">
        <x:f>200*('Месяцы_рынки'!E177-'Месяцы_рынки'!E165)/('Месяцы_рынки'!E177+'Месяцы_рынки'!E165)</x:f>
        <x:v>-51.24838227764482</x:v>
      </x:c>
      <x:c r="E184" s="19" t="n">
        <x:f>200*('Месяцы_рынки'!F177-'Месяцы_рынки'!F165)/('Месяцы_рынки'!F177+'Месяцы_рынки'!F165)</x:f>
        <x:v>-16.295342069580148</x:v>
      </x:c>
      <x:c r="F184" s="19" t="n">
        <x:f>200*('Месяцы_рынки'!G177-'Месяцы_рынки'!G165)/('Месяцы_рынки'!G177+'Месяцы_рынки'!G165)</x:f>
        <x:v>-48.76870895344034</x:v>
      </x:c>
      <x:c r="G184" s="19" t="n">
        <x:f>200*('Месяцы_рынки'!H177-'Месяцы_рынки'!H165)/('Месяцы_рынки'!H177+'Месяцы_рынки'!H165)</x:f>
        <x:v>-55.35700846221153</x:v>
      </x:c>
      <x:c r="H184" s="19" t="n">
        <x:f>200*('Месяцы_рынки'!I177-'Месяцы_рынки'!I165)/('Месяцы_рынки'!I177+'Месяцы_рынки'!I165)</x:f>
        <x:v>-44.211885986333506</x:v>
      </x:c>
      <x:c r="I184" s="19" t="n">
        <x:f>200*('Месяцы_рынки'!J177-'Месяцы_рынки'!J165)/('Месяцы_рынки'!J177+'Месяцы_рынки'!J165)</x:f>
        <x:v>-39.010069728057225</x:v>
      </x:c>
      <x:c r="J184" s="19" t="n">
        <x:f>200*('Месяцы_рынки'!K177-'Месяцы_рынки'!K165)/('Месяцы_рынки'!K177+'Месяцы_рынки'!K165)</x:f>
        <x:v>17.452575977939734</x:v>
      </x:c>
    </x:row>
    <x:row r="185" ht="22" customHeight="1">
      <x:c r="A185" s="20" t="d">
        <x:v>2023-04-01T00:00:00.000Z</x:v>
      </x:c>
      <x:c r="B185" s="19" t="n">
        <x:f>200*('Месяцы_рынки'!C178-'Месяцы_рынки'!C166)/('Месяцы_рынки'!C178+'Месяцы_рынки'!C166)</x:f>
        <x:v>-40.65179969461178</x:v>
      </x:c>
      <x:c r="C185" s="19" t="n">
        <x:f>200*('Месяцы_рынки'!D178-'Месяцы_рынки'!D166)/('Месяцы_рынки'!D178+'Месяцы_рынки'!D166)</x:f>
        <x:v>-59.16701433333054</x:v>
      </x:c>
      <x:c r="D185" s="19" t="n">
        <x:f>200*('Месяцы_рынки'!E178-'Месяцы_рынки'!E166)/('Месяцы_рынки'!E178+'Месяцы_рынки'!E166)</x:f>
        <x:v>-52.25579157369737</x:v>
      </x:c>
      <x:c r="E185" s="19" t="n">
        <x:f>200*('Месяцы_рынки'!F178-'Месяцы_рынки'!F166)/('Месяцы_рынки'!F178+'Месяцы_рынки'!F166)</x:f>
        <x:v>-44.13349741427365</x:v>
      </x:c>
      <x:c r="F185" s="19" t="n">
        <x:f>200*('Месяцы_рынки'!G178-'Месяцы_рынки'!G166)/('Месяцы_рынки'!G178+'Месяцы_рынки'!G166)</x:f>
        <x:v>-52.59231163148464</x:v>
      </x:c>
      <x:c r="G185" s="19" t="n">
        <x:f>200*('Месяцы_рынки'!H178-'Месяцы_рынки'!H166)/('Месяцы_рынки'!H178+'Месяцы_рынки'!H166)</x:f>
        <x:v>-80.31264405841941</x:v>
      </x:c>
      <x:c r="H185" s="19" t="n">
        <x:f>200*('Месяцы_рынки'!I178-'Месяцы_рынки'!I166)/('Месяцы_рынки'!I178+'Месяцы_рынки'!I166)</x:f>
        <x:v>-72.67396939668728</x:v>
      </x:c>
      <x:c r="I185" s="19" t="n">
        <x:f>200*('Месяцы_рынки'!J178-'Месяцы_рынки'!J166)/('Месяцы_рынки'!J178+'Месяцы_рынки'!J166)</x:f>
        <x:v>-14.35665424960962</x:v>
      </x:c>
      <x:c r="J185" s="19" t="n">
        <x:f>200*('Месяцы_рынки'!K178-'Месяцы_рынки'!K166)/('Месяцы_рынки'!K178+'Месяцы_рынки'!K166)</x:f>
        <x:v>-46.35819141035648</x:v>
      </x:c>
    </x:row>
    <x:row r="186" ht="22" customHeight="1">
      <x:c r="A186" s="20" t="d">
        <x:v>2023-05-01T00:00:00.000Z</x:v>
      </x:c>
      <x:c r="B186" s="19" t="n">
        <x:f>200*('Месяцы_рынки'!C179-'Месяцы_рынки'!C167)/('Месяцы_рынки'!C179+'Месяцы_рынки'!C167)</x:f>
        <x:v>-38.91545471341054</x:v>
      </x:c>
      <x:c r="C186" s="19" t="n">
        <x:f>200*('Месяцы_рынки'!D179-'Месяцы_рынки'!D167)/('Месяцы_рынки'!D179+'Месяцы_рынки'!D167)</x:f>
        <x:v>-36.130911195146396</x:v>
      </x:c>
      <x:c r="D186" s="19" t="n">
        <x:f>200*('Месяцы_рынки'!E179-'Месяцы_рынки'!E167)/('Месяцы_рынки'!E179+'Месяцы_рынки'!E167)</x:f>
        <x:v>-55.71047450024411</x:v>
      </x:c>
      <x:c r="E186" s="19" t="n">
        <x:f>200*('Месяцы_рынки'!F179-'Месяцы_рынки'!F167)/('Месяцы_рынки'!F179+'Месяцы_рынки'!F167)</x:f>
        <x:v>-49.002744481870856</x:v>
      </x:c>
      <x:c r="F186" s="19" t="n">
        <x:f>200*('Месяцы_рынки'!G179-'Месяцы_рынки'!G167)/('Месяцы_рынки'!G179+'Месяцы_рынки'!G167)</x:f>
        <x:v>-28.556747681067954</x:v>
      </x:c>
      <x:c r="G186" s="19" t="n">
        <x:f>200*('Месяцы_рынки'!H179-'Месяцы_рынки'!H167)/('Месяцы_рынки'!H179+'Месяцы_рынки'!H167)</x:f>
        <x:v>-73.50773632176058</x:v>
      </x:c>
      <x:c r="H186" s="19" t="n">
        <x:f>200*('Месяцы_рынки'!I179-'Месяцы_рынки'!I167)/('Месяцы_рынки'!I179+'Месяцы_рынки'!I167)</x:f>
        <x:v>-9.64579800935094</x:v>
      </x:c>
      <x:c r="I186" s="19" t="n">
        <x:f>200*('Месяцы_рынки'!J179-'Месяцы_рынки'!J167)/('Месяцы_рынки'!J179+'Месяцы_рынки'!J167)</x:f>
        <x:v>13.934395323142828</x:v>
      </x:c>
      <x:c r="J186" s="19" t="n">
        <x:f>200*('Месяцы_рынки'!K179-'Месяцы_рынки'!K167)/('Месяцы_рынки'!K179+'Месяцы_рынки'!K167)</x:f>
        <x:v>-7.80931988662085</x:v>
      </x:c>
    </x:row>
    <x:row r="187" ht="22" customHeight="1">
      <x:c r="A187" s="20" t="d">
        <x:v>2023-06-01T00:00:00.000Z</x:v>
      </x:c>
      <x:c r="B187" s="19" t="n">
        <x:f>200*('Месяцы_рынки'!C180-'Месяцы_рынки'!C168)/('Месяцы_рынки'!C180+'Месяцы_рынки'!C168)</x:f>
        <x:v>-45.846887520264424</x:v>
      </x:c>
      <x:c r="C187" s="19" t="n">
        <x:f>200*('Месяцы_рынки'!D180-'Месяцы_рынки'!D168)/('Месяцы_рынки'!D180+'Месяцы_рынки'!D168)</x:f>
        <x:v>-9.900352229897024</x:v>
      </x:c>
      <x:c r="D187" s="19" t="n">
        <x:f>200*('Месяцы_рынки'!E180-'Месяцы_рынки'!E168)/('Месяцы_рынки'!E180+'Месяцы_рынки'!E168)</x:f>
        <x:v>-20.57675190187372</x:v>
      </x:c>
      <x:c r="E187" s="19" t="n">
        <x:f>200*('Месяцы_рынки'!F180-'Месяцы_рынки'!F168)/('Месяцы_рынки'!F180+'Месяцы_рынки'!F168)</x:f>
        <x:v>-23.950159721946708</x:v>
      </x:c>
      <x:c r="F187" s="19" t="n">
        <x:f>200*('Месяцы_рынки'!G180-'Месяцы_рынки'!G168)/('Месяцы_рынки'!G180+'Месяцы_рынки'!G168)</x:f>
        <x:v>-12.842277653509418</x:v>
      </x:c>
      <x:c r="G187" s="19" t="n">
        <x:f>200*('Месяцы_рынки'!H180-'Месяцы_рынки'!H168)/('Месяцы_рынки'!H180+'Месяцы_рынки'!H168)</x:f>
        <x:v>-129.17072405287246</x:v>
      </x:c>
      <x:c r="H187" s="19" t="n">
        <x:f>200*('Месяцы_рынки'!I180-'Месяцы_рынки'!I168)/('Месяцы_рынки'!I180+'Месяцы_рынки'!I168)</x:f>
        <x:v>-52.22244715937157</x:v>
      </x:c>
      <x:c r="I187" s="19" t="n">
        <x:f>200*('Месяцы_рынки'!J180-'Месяцы_рынки'!J168)/('Месяцы_рынки'!J180+'Месяцы_рынки'!J168)</x:f>
        <x:v>4.780689212798014</x:v>
      </x:c>
      <x:c r="J187" s="19" t="n">
        <x:f>200*('Месяцы_рынки'!K180-'Месяцы_рынки'!K168)/('Месяцы_рынки'!K180+'Месяцы_рынки'!K168)</x:f>
        <x:v>8.728389541958393</x:v>
      </x:c>
    </x:row>
    <x:row r="188" ht="22" customHeight="1">
      <x:c r="A188" s="20" t="d">
        <x:v>2023-07-01T00:00:00.000Z</x:v>
      </x:c>
      <x:c r="B188" s="19" t="n">
        <x:f>200*('Месяцы_рынки'!C181-'Месяцы_рынки'!C169)/('Месяцы_рынки'!C181+'Месяцы_рынки'!C169)</x:f>
        <x:v>-59.68772490491472</x:v>
      </x:c>
      <x:c r="C188" s="19" t="n">
        <x:f>200*('Месяцы_рынки'!D181-'Месяцы_рынки'!D169)/('Месяцы_рынки'!D181+'Месяцы_рынки'!D169)</x:f>
        <x:v>21.07127917803487</x:v>
      </x:c>
      <x:c r="D188" s="19" t="n">
        <x:f>200*('Месяцы_рынки'!E181-'Месяцы_рынки'!E169)/('Месяцы_рынки'!E181+'Месяцы_рынки'!E169)</x:f>
        <x:v>-37.2475909956546</x:v>
      </x:c>
      <x:c r="E188" s="19" t="n">
        <x:f>200*('Месяцы_рынки'!F181-'Месяцы_рынки'!F169)/('Месяцы_рынки'!F181+'Месяцы_рынки'!F169)</x:f>
        <x:v>-61.472067974301375</x:v>
      </x:c>
      <x:c r="F188" s="19" t="n">
        <x:f>200*('Месяцы_рынки'!G181-'Месяцы_рынки'!G169)/('Месяцы_рынки'!G181+'Месяцы_рынки'!G169)</x:f>
        <x:v>-41.00837936504843</x:v>
      </x:c>
      <x:c r="G188" s="19" t="n">
        <x:f>200*('Месяцы_рынки'!H181-'Месяцы_рынки'!H169)/('Месяцы_рынки'!H181+'Месяцы_рынки'!H169)</x:f>
        <x:v>-109.32203920580301</x:v>
      </x:c>
      <x:c r="H188" s="19" t="n">
        <x:f>200*('Месяцы_рынки'!I181-'Месяцы_рынки'!I169)/('Месяцы_рынки'!I181+'Месяцы_рынки'!I169)</x:f>
        <x:v>-65.38928927934354</x:v>
      </x:c>
      <x:c r="I188" s="19" t="n">
        <x:f>200*('Месяцы_рынки'!J181-'Месяцы_рынки'!J169)/('Месяцы_рынки'!J181+'Месяцы_рынки'!J169)</x:f>
        <x:v>-21.41969845955455</x:v>
      </x:c>
      <x:c r="J188" s="19" t="n">
        <x:f>200*('Месяцы_рынки'!K181-'Месяцы_рынки'!K169)/('Месяцы_рынки'!K181+'Месяцы_рынки'!K169)</x:f>
        <x:v>10.800373994709762</x:v>
      </x:c>
    </x:row>
    <x:row r="189" ht="22" customHeight="1">
      <x:c r="A189" s="20" t="d">
        <x:v>2023-08-01T00:00:00.000Z</x:v>
      </x:c>
      <x:c r="B189" s="19" t="n">
        <x:f>200*('Месяцы_рынки'!C182-'Месяцы_рынки'!C170)/('Месяцы_рынки'!C182+'Месяцы_рынки'!C170)</x:f>
        <x:v>-36.819890990690155</x:v>
      </x:c>
      <x:c r="C189" s="19" t="n">
        <x:f>200*('Месяцы_рынки'!D182-'Месяцы_рынки'!D170)/('Месяцы_рынки'!D182+'Месяцы_рынки'!D170)</x:f>
        <x:v>16.41400478962283</x:v>
      </x:c>
      <x:c r="D189" s="19" t="n">
        <x:f>200*('Месяцы_рынки'!E182-'Месяцы_рынки'!E170)/('Месяцы_рынки'!E182+'Месяцы_рынки'!E170)</x:f>
        <x:v>-31.569904924463863</x:v>
      </x:c>
      <x:c r="E189" s="19" t="n">
        <x:f>200*('Месяцы_рынки'!F182-'Месяцы_рынки'!F170)/('Месяцы_рынки'!F182+'Месяцы_рынки'!F170)</x:f>
        <x:v>-22.01780648569107</x:v>
      </x:c>
      <x:c r="F189" s="19" t="n">
        <x:f>200*('Месяцы_рынки'!G182-'Месяцы_рынки'!G170)/('Месяцы_рынки'!G182+'Месяцы_рынки'!G170)</x:f>
        <x:v>-10.922564827350925</x:v>
      </x:c>
      <x:c r="G189" s="19" t="n">
        <x:f>200*('Месяцы_рынки'!H182-'Месяцы_рынки'!H170)/('Месяцы_рынки'!H182+'Месяцы_рынки'!H170)</x:f>
        <x:v>-57.45743322938941</x:v>
      </x:c>
      <x:c r="H189" s="19" t="n">
        <x:f>200*('Месяцы_рынки'!I182-'Месяцы_рынки'!I170)/('Месяцы_рынки'!I182+'Месяцы_рынки'!I170)</x:f>
        <x:v>-44.24769480113533</x:v>
      </x:c>
      <x:c r="I189" s="19" t="n">
        <x:f>200*('Месяцы_рынки'!J182-'Месяцы_рынки'!J170)/('Месяцы_рынки'!J182+'Месяцы_рынки'!J170)</x:f>
        <x:v>-8.472480384186563</x:v>
      </x:c>
      <x:c r="J189" s="19" t="n">
        <x:f>200*('Месяцы_рынки'!K182-'Месяцы_рынки'!K170)/('Месяцы_рынки'!K182+'Месяцы_рынки'!K170)</x:f>
        <x:v>-8.545716541526398</x:v>
      </x:c>
    </x:row>
    <x:row r="190" ht="22" customHeight="1">
      <x:c r="A190" s="20" t="d">
        <x:v>2023-09-01T00:00:00.000Z</x:v>
      </x:c>
      <x:c r="B190" s="19" t="n">
        <x:f>200*('Месяцы_рынки'!C183-'Месяцы_рынки'!C171)/('Месяцы_рынки'!C183+'Месяцы_рынки'!C171)</x:f>
        <x:v>-35.8409441940472</x:v>
      </x:c>
      <x:c r="C190" s="19" t="n">
        <x:f>200*('Месяцы_рынки'!D183-'Месяцы_рынки'!D171)/('Месяцы_рынки'!D183+'Месяцы_рынки'!D171)</x:f>
        <x:v>-2.5044003133068085</x:v>
      </x:c>
      <x:c r="D190" s="19" t="n">
        <x:f>200*('Месяцы_рынки'!E183-'Месяцы_рынки'!E171)/('Месяцы_рынки'!E183+'Месяцы_рынки'!E171)</x:f>
        <x:v>14.79732528628619</x:v>
      </x:c>
      <x:c r="E190" s="19" t="n">
        <x:f>200*('Месяцы_рынки'!F183-'Месяцы_рынки'!F171)/('Месяцы_рынки'!F183+'Месяцы_рынки'!F171)</x:f>
        <x:v>-4.947500091068906</x:v>
      </x:c>
      <x:c r="F190" s="19" t="n">
        <x:f>200*('Месяцы_рынки'!G183-'Месяцы_рынки'!G171)/('Месяцы_рынки'!G183+'Месяцы_рынки'!G171)</x:f>
        <x:v>24.806509752910515</x:v>
      </x:c>
      <x:c r="G190" s="19" t="n">
        <x:f>200*('Месяцы_рынки'!H183-'Месяцы_рынки'!H171)/('Месяцы_рынки'!H183+'Месяцы_рынки'!H171)</x:f>
        <x:v>-80.00053559281145</x:v>
      </x:c>
      <x:c r="H190" s="19" t="n">
        <x:f>200*('Месяцы_рынки'!I183-'Месяцы_рынки'!I171)/('Месяцы_рынки'!I183+'Месяцы_рынки'!I171)</x:f>
        <x:v>-100.20813305052457</x:v>
      </x:c>
      <x:c r="I190" s="19" t="n">
        <x:f>200*('Месяцы_рынки'!J183-'Месяцы_рынки'!J171)/('Месяцы_рынки'!J183+'Месяцы_рынки'!J171)</x:f>
        <x:v>-13.291152522745918</x:v>
      </x:c>
      <x:c r="J190" s="19" t="n">
        <x:f>200*('Месяцы_рынки'!K183-'Месяцы_рынки'!K171)/('Месяцы_рынки'!K183+'Месяцы_рынки'!K171)</x:f>
        <x:v>-6.221534333620441</x:v>
      </x:c>
    </x:row>
    <x:row r="191" ht="22" customHeight="1">
      <x:c r="A191" s="20" t="d">
        <x:v>2023-10-01T00:00:00.000Z</x:v>
      </x:c>
      <x:c r="B191" s="19" t="n">
        <x:f>200*('Месяцы_рынки'!C184-'Месяцы_рынки'!C172)/('Месяцы_рынки'!C184+'Месяцы_рынки'!C172)</x:f>
        <x:v>-12.667291790869617</x:v>
      </x:c>
      <x:c r="C191" s="19" t="n">
        <x:f>200*('Месяцы_рынки'!D184-'Месяцы_рынки'!D172)/('Месяцы_рынки'!D184+'Месяцы_рынки'!D172)</x:f>
        <x:v>22.673289932437893</x:v>
      </x:c>
      <x:c r="D191" s="19" t="n">
        <x:f>200*('Месяцы_рынки'!E184-'Месяцы_рынки'!E172)/('Месяцы_рынки'!E184+'Месяцы_рынки'!E172)</x:f>
        <x:v>0.12284967725268627</x:v>
      </x:c>
      <x:c r="E191" s="19" t="n">
        <x:f>200*('Месяцы_рынки'!F184-'Месяцы_рынки'!F172)/('Месяцы_рынки'!F184+'Месяцы_рынки'!F172)</x:f>
        <x:v>-25.23462906564011</x:v>
      </x:c>
      <x:c r="F191" s="19" t="n">
        <x:f>200*('Месяцы_рынки'!G184-'Месяцы_рынки'!G172)/('Месяцы_рынки'!G184+'Месяцы_рынки'!G172)</x:f>
        <x:v>-12.674279639293175</x:v>
      </x:c>
      <x:c r="G191" s="19" t="n">
        <x:f>200*('Месяцы_рынки'!H184-'Месяцы_рынки'!H172)/('Месяцы_рынки'!H184+'Месяцы_рынки'!H172)</x:f>
        <x:v>-63.48261003459051</x:v>
      </x:c>
      <x:c r="H191" s="19" t="n">
        <x:f>200*('Месяцы_рынки'!I184-'Месяцы_рынки'!I172)/('Месяцы_рынки'!I184+'Месяцы_рынки'!I172)</x:f>
        <x:v>-77.90359304580777</x:v>
      </x:c>
      <x:c r="I191" s="19" t="n">
        <x:f>200*('Месяцы_рынки'!J184-'Месяцы_рынки'!J172)/('Месяцы_рынки'!J184+'Месяцы_рынки'!J172)</x:f>
        <x:v>-20.18965724407516</x:v>
      </x:c>
      <x:c r="J191" s="19" t="n">
        <x:f>200*('Месяцы_рынки'!K184-'Месяцы_рынки'!K172)/('Месяцы_рынки'!K184+'Месяцы_рынки'!K172)</x:f>
        <x:v>9.135702739325595</x:v>
      </x:c>
    </x:row>
    <x:row r="192" ht="22" customHeight="1">
      <x:c r="A192" s="20" t="d">
        <x:v>2023-11-01T00:00:00.000Z</x:v>
      </x:c>
      <x:c r="B192" s="19" t="n">
        <x:f>200*('Месяцы_рынки'!C185-'Месяцы_рынки'!C173)/('Месяцы_рынки'!C185+'Месяцы_рынки'!C173)</x:f>
        <x:v>3.1064979536427044</x:v>
      </x:c>
      <x:c r="C192" s="19" t="n">
        <x:f>200*('Месяцы_рынки'!D185-'Месяцы_рынки'!D173)/('Месяцы_рынки'!D185+'Месяцы_рынки'!D173)</x:f>
        <x:v>55.155720406398274</x:v>
      </x:c>
      <x:c r="D192" s="19" t="n">
        <x:f>200*('Месяцы_рынки'!E185-'Месяцы_рынки'!E173)/('Месяцы_рынки'!E185+'Месяцы_рынки'!E173)</x:f>
        <x:v>-19.83440233640173</x:v>
      </x:c>
      <x:c r="E192" s="19" t="n">
        <x:f>200*('Месяцы_рынки'!F185-'Месяцы_рынки'!F173)/('Месяцы_рынки'!F185+'Месяцы_рынки'!F173)</x:f>
        <x:v>-6.237658235573265</x:v>
      </x:c>
      <x:c r="F192" s="19" t="n">
        <x:f>200*('Месяцы_рынки'!G185-'Месяцы_рынки'!G173)/('Месяцы_рынки'!G185+'Месяцы_рынки'!G173)</x:f>
        <x:v>-37.867910405249674</x:v>
      </x:c>
      <x:c r="G192" s="19" t="n">
        <x:f>200*('Месяцы_рынки'!H185-'Месяцы_рынки'!H173)/('Месяцы_рынки'!H185+'Месяцы_рынки'!H173)</x:f>
        <x:v>-47.82988247746431</x:v>
      </x:c>
      <x:c r="H192" s="19" t="n">
        <x:f>200*('Месяцы_рынки'!I185-'Месяцы_рынки'!I173)/('Месяцы_рынки'!I185+'Месяцы_рынки'!I173)</x:f>
        <x:v>-75.69244847697045</x:v>
      </x:c>
      <x:c r="I192" s="19" t="n">
        <x:f>200*('Месяцы_рынки'!J185-'Месяцы_рынки'!J173)/('Месяцы_рынки'!J185+'Месяцы_рынки'!J173)</x:f>
        <x:v>-11.286165836362875</x:v>
      </x:c>
      <x:c r="J192" s="19" t="n">
        <x:f>200*('Месяцы_рынки'!K185-'Месяцы_рынки'!K173)/('Месяцы_рынки'!K185+'Месяцы_рынки'!K173)</x:f>
        <x:v>9.4674564036891</x:v>
      </x:c>
    </x:row>
    <x:row r="193" ht="22" customHeight="1">
      <x:c r="A193" s="20" t="d">
        <x:v>2023-12-01T00:00:00.000Z</x:v>
      </x:c>
      <x:c r="B193" s="19" t="n">
        <x:f>200*('Месяцы_рынки'!C186-'Месяцы_рынки'!C174)/('Месяцы_рынки'!C186+'Месяцы_рынки'!C174)</x:f>
        <x:v>-0.4675003686058839</x:v>
      </x:c>
      <x:c r="C193" s="19" t="n">
        <x:f>200*('Месяцы_рынки'!D186-'Месяцы_рынки'!D174)/('Месяцы_рынки'!D186+'Месяцы_рынки'!D174)</x:f>
        <x:v>70.50839901960867</x:v>
      </x:c>
      <x:c r="D193" s="19" t="n">
        <x:f>200*('Месяцы_рынки'!E186-'Месяцы_рынки'!E174)/('Месяцы_рынки'!E186+'Месяцы_рынки'!E174)</x:f>
        <x:v>23.732757573912558</x:v>
      </x:c>
      <x:c r="E193" s="19" t="n">
        <x:f>200*('Месяцы_рынки'!F186-'Месяцы_рынки'!F174)/('Месяцы_рынки'!F186+'Месяцы_рынки'!F174)</x:f>
        <x:v>0.043747710862480166</x:v>
      </x:c>
      <x:c r="F193" s="19" t="n">
        <x:f>200*('Месяцы_рынки'!G186-'Месяцы_рынки'!G174)/('Месяцы_рынки'!G186+'Месяцы_рынки'!G174)</x:f>
        <x:v>-36.240744088950656</x:v>
      </x:c>
      <x:c r="G193" s="19" t="n">
        <x:f>200*('Месяцы_рынки'!H186-'Месяцы_рынки'!H174)/('Месяцы_рынки'!H186+'Месяцы_рынки'!H174)</x:f>
        <x:v>-40.52105722094074</x:v>
      </x:c>
      <x:c r="H193" s="19" t="n">
        <x:f>200*('Месяцы_рынки'!I186-'Месяцы_рынки'!I174)/('Месяцы_рынки'!I186+'Месяцы_рынки'!I174)</x:f>
        <x:v>-21.73649385378375</x:v>
      </x:c>
      <x:c r="I193" s="19" t="n">
        <x:f>200*('Месяцы_рынки'!J186-'Месяцы_рынки'!J174)/('Месяцы_рынки'!J186+'Месяцы_рынки'!J174)</x:f>
        <x:v>-2.9729526325749545</x:v>
      </x:c>
      <x:c r="J193" s="19" t="n">
        <x:f>200*('Месяцы_рынки'!K186-'Месяцы_рынки'!K174)/('Месяцы_рынки'!K186+'Месяцы_рынки'!K174)</x:f>
        <x:v>18.290954850599306</x:v>
      </x:c>
    </x:row>
    <x:row r="194" ht="22" customHeight="1">
      <x:c r="A194" s="20" t="d">
        <x:v>2024-01-01T00:00:00.000Z</x:v>
      </x:c>
      <x:c r="B194" s="19" t="n">
        <x:f>200*('Месяцы_рынки'!C187-'Месяцы_рынки'!C175)/('Месяцы_рынки'!C187+'Месяцы_рынки'!C175)</x:f>
        <x:v>33.88929202338841</x:v>
      </x:c>
      <x:c r="C194" s="19" t="n">
        <x:f>200*('Месяцы_рынки'!D187-'Месяцы_рынки'!D175)/('Месяцы_рынки'!D187+'Месяцы_рынки'!D175)</x:f>
        <x:v>100.94605183855253</x:v>
      </x:c>
      <x:c r="D194" s="19" t="n">
        <x:f>200*('Месяцы_рынки'!E187-'Месяцы_рынки'!E175)/('Месяцы_рынки'!E187+'Месяцы_рынки'!E175)</x:f>
        <x:v>50.88843254654396</x:v>
      </x:c>
      <x:c r="E194" s="19" t="n">
        <x:f>200*('Месяцы_рынки'!F187-'Месяцы_рынки'!F175)/('Месяцы_рынки'!F187+'Месяцы_рынки'!F175)</x:f>
        <x:v>24.08579693845696</x:v>
      </x:c>
      <x:c r="F194" s="19" t="n">
        <x:f>200*('Месяцы_рынки'!G187-'Месяцы_рынки'!G175)/('Месяцы_рынки'!G187+'Месяцы_рынки'!G175)</x:f>
        <x:v>-19.747116839187065</x:v>
      </x:c>
      <x:c r="G194" s="19" t="n">
        <x:f>200*('Месяцы_рынки'!H187-'Месяцы_рынки'!H175)/('Месяцы_рынки'!H187+'Месяцы_рынки'!H175)</x:f>
        <x:v>-4.367994709662771</x:v>
      </x:c>
      <x:c r="H194" s="19" t="n">
        <x:f>200*('Месяцы_рынки'!I187-'Месяцы_рынки'!I175)/('Месяцы_рынки'!I187+'Месяцы_рынки'!I175)</x:f>
        <x:v>1.955599755109036</x:v>
      </x:c>
      <x:c r="I194" s="19" t="n">
        <x:f>200*('Месяцы_рынки'!J187-'Месяцы_рынки'!J175)/('Месяцы_рынки'!J187+'Месяцы_рынки'!J175)</x:f>
        <x:v>6.559929840986493</x:v>
      </x:c>
      <x:c r="J194" s="19" t="n">
        <x:f>200*('Месяцы_рынки'!K187-'Месяцы_рынки'!K175)/('Месяцы_рынки'!K187+'Месяцы_рынки'!K175)</x:f>
        <x:v>15.821136719563242</x:v>
      </x:c>
    </x:row>
    <x:row r="195" ht="22" customHeight="1">
      <x:c r="A195" s="20" t="d">
        <x:v>2024-02-01T00:00:00.000Z</x:v>
      </x:c>
      <x:c r="B195" s="19" t="n">
        <x:f>200*('Месяцы_рынки'!C188-'Месяцы_рынки'!C176)/('Месяцы_рынки'!C188+'Месяцы_рынки'!C176)</x:f>
        <x:v>31.6526959428732</x:v>
      </x:c>
      <x:c r="C195" s="19" t="n">
        <x:f>200*('Месяцы_рынки'!D188-'Месяцы_рынки'!D176)/('Месяцы_рынки'!D188+'Месяцы_рынки'!D176)</x:f>
        <x:v>111.97210631816469</x:v>
      </x:c>
      <x:c r="D195" s="19" t="n">
        <x:f>200*('Месяцы_рынки'!E188-'Месяцы_рынки'!E176)/('Месяцы_рынки'!E188+'Месяцы_рынки'!E176)</x:f>
        <x:v>31.85772271570165</x:v>
      </x:c>
      <x:c r="E195" s="19" t="n">
        <x:f>200*('Месяцы_рынки'!F188-'Месяцы_рынки'!F176)/('Месяцы_рынки'!F188+'Месяцы_рынки'!F176)</x:f>
        <x:v>41.19157382632099</x:v>
      </x:c>
      <x:c r="F195" s="19" t="n">
        <x:f>200*('Месяцы_рынки'!G188-'Месяцы_рынки'!G176)/('Месяцы_рынки'!G188+'Месяцы_рынки'!G176)</x:f>
        <x:v>34.63205879688816</x:v>
      </x:c>
      <x:c r="G195" s="19" t="n">
        <x:f>200*('Месяцы_рынки'!H188-'Месяцы_рынки'!H176)/('Месяцы_рынки'!H188+'Месяцы_рынки'!H176)</x:f>
        <x:v>-16.472972285239003</x:v>
      </x:c>
      <x:c r="H195" s="19" t="n">
        <x:f>200*('Месяцы_рынки'!I188-'Месяцы_рынки'!I176)/('Месяцы_рынки'!I188+'Месяцы_рынки'!I176)</x:f>
        <x:v>78.78956709190098</x:v>
      </x:c>
      <x:c r="I195" s="19" t="n">
        <x:f>200*('Месяцы_рынки'!J188-'Месяцы_рынки'!J176)/('Месяцы_рынки'!J188+'Месяцы_рынки'!J176)</x:f>
        <x:v>6.807997903065311</x:v>
      </x:c>
      <x:c r="J195" s="19" t="n">
        <x:f>200*('Месяцы_рынки'!K188-'Месяцы_рынки'!K176)/('Месяцы_рынки'!K188+'Месяцы_рынки'!K176)</x:f>
        <x:v>29.37115843441002</x:v>
      </x:c>
    </x:row>
    <x:row r="196" ht="22" customHeight="1">
      <x:c r="A196" s="20" t="d">
        <x:v>2024-03-01T00:00:00.000Z</x:v>
      </x:c>
      <x:c r="B196" s="19" t="n">
        <x:f>200*('Месяцы_рынки'!C189-'Месяцы_рынки'!C177)/('Месяцы_рынки'!C189+'Месяцы_рынки'!C177)</x:f>
        <x:v>27.352132112174548</x:v>
      </x:c>
      <x:c r="C196" s="19" t="n">
        <x:f>200*('Месяцы_рынки'!D189-'Месяцы_рынки'!D177)/('Месяцы_рынки'!D189+'Месяцы_рынки'!D177)</x:f>
        <x:v>54.56938590050571</x:v>
      </x:c>
      <x:c r="D196" s="19" t="n">
        <x:f>200*('Месяцы_рынки'!E189-'Месяцы_рынки'!E177)/('Месяцы_рынки'!E189+'Месяцы_рынки'!E177)</x:f>
        <x:v>27.86658153454622</x:v>
      </x:c>
      <x:c r="E196" s="19" t="n">
        <x:f>200*('Месяцы_рынки'!F189-'Месяцы_рынки'!F177)/('Месяцы_рынки'!F189+'Месяцы_рынки'!F177)</x:f>
        <x:v>8.420042736945621</x:v>
      </x:c>
      <x:c r="F196" s="19" t="n">
        <x:f>200*('Месяцы_рынки'!G189-'Месяцы_рынки'!G177)/('Месяцы_рынки'!G189+'Месяцы_рынки'!G177)</x:f>
        <x:v>26.59455049934794</x:v>
      </x:c>
      <x:c r="G196" s="19" t="n">
        <x:f>200*('Месяцы_рынки'!H189-'Месяцы_рынки'!H177)/('Месяцы_рынки'!H189+'Месяцы_рынки'!H177)</x:f>
        <x:v>-37.06656239360953</x:v>
      </x:c>
      <x:c r="H196" s="19" t="n">
        <x:f>200*('Месяцы_рынки'!I189-'Месяцы_рынки'!I177)/('Месяцы_рынки'!I189+'Месяцы_рынки'!I177)</x:f>
        <x:v>82.7709614681286</x:v>
      </x:c>
      <x:c r="I196" s="19" t="n">
        <x:f>200*('Месяцы_рынки'!J189-'Месяцы_рынки'!J177)/('Месяцы_рынки'!J189+'Месяцы_рынки'!J177)</x:f>
        <x:v>18.141802712153854</x:v>
      </x:c>
      <x:c r="J196" s="19" t="n">
        <x:f>200*('Месяцы_рынки'!K189-'Месяцы_рынки'!K177)/('Месяцы_рынки'!K189+'Месяцы_рынки'!K177)</x:f>
        <x:v>-15.051126911212545</x:v>
      </x:c>
    </x:row>
    <x:row r="197" ht="22" customHeight="1">
      <x:c r="A197" s="20" t="d">
        <x:v>2024-04-01T00:00:00.000Z</x:v>
      </x:c>
      <x:c r="B197" s="19" t="n">
        <x:f>200*('Месяцы_рынки'!C190-'Месяцы_рынки'!C178)/('Месяцы_рынки'!C190+'Месяцы_рынки'!C178)</x:f>
        <x:v>22.394372543614317</x:v>
      </x:c>
      <x:c r="C197" s="19" t="n">
        <x:f>200*('Месяцы_рынки'!D190-'Месяцы_рынки'!D178)/('Месяцы_рынки'!D190+'Месяцы_рынки'!D178)</x:f>
        <x:v>79.72125831266138</x:v>
      </x:c>
      <x:c r="D197" s="19" t="n">
        <x:f>200*('Месяцы_рынки'!E190-'Месяцы_рынки'!E178)/('Месяцы_рынки'!E190+'Месяцы_рынки'!E178)</x:f>
        <x:v>48.15217913845976</x:v>
      </x:c>
      <x:c r="E197" s="19" t="n">
        <x:f>200*('Месяцы_рынки'!F190-'Месяцы_рынки'!F178)/('Месяцы_рынки'!F190+'Месяцы_рынки'!F178)</x:f>
        <x:v>36.84749301277332</x:v>
      </x:c>
      <x:c r="F197" s="19" t="n">
        <x:f>200*('Месяцы_рынки'!G190-'Месяцы_рынки'!G178)/('Месяцы_рынки'!G190+'Месяцы_рынки'!G178)</x:f>
        <x:v>9.14996330211249</x:v>
      </x:c>
      <x:c r="G197" s="19" t="n">
        <x:f>200*('Месяцы_рынки'!H190-'Месяцы_рынки'!H178)/('Месяцы_рынки'!H190+'Месяцы_рынки'!H178)</x:f>
        <x:v>-9.155442325760783</x:v>
      </x:c>
      <x:c r="H197" s="19" t="n">
        <x:f>200*('Месяцы_рынки'!I190-'Месяцы_рынки'!I178)/('Месяцы_рынки'!I190+'Месяцы_рынки'!I178)</x:f>
        <x:v>125.34637699836064</x:v>
      </x:c>
      <x:c r="I197" s="19" t="n">
        <x:f>200*('Месяцы_рынки'!J190-'Месяцы_рынки'!J178)/('Месяцы_рынки'!J190+'Месяцы_рынки'!J178)</x:f>
        <x:v>-16.67475633486026</x:v>
      </x:c>
      <x:c r="J197" s="19" t="n">
        <x:f>200*('Месяцы_рынки'!K190-'Месяцы_рынки'!K178)/('Месяцы_рынки'!K190+'Месяцы_рынки'!K178)</x:f>
        <x:v>39.63654161985228</x:v>
      </x:c>
    </x:row>
    <x:row r="198" ht="22" customHeight="1">
      <x:c r="A198" s="20" t="d">
        <x:v>2024-05-01T00:00:00.000Z</x:v>
      </x:c>
      <x:c r="B198" s="19" t="n">
        <x:f>200*('Месяцы_рынки'!C191-'Месяцы_рынки'!C179)/('Месяцы_рынки'!C191+'Месяцы_рынки'!C179)</x:f>
        <x:v>35.22029460002246</x:v>
      </x:c>
      <x:c r="C198" s="19" t="n">
        <x:f>200*('Месяцы_рынки'!D191-'Месяцы_рынки'!D179)/('Месяцы_рынки'!D191+'Месяцы_рынки'!D179)</x:f>
        <x:v>38.47554842329839</x:v>
      </x:c>
      <x:c r="D198" s="19" t="n">
        <x:f>200*('Месяцы_рынки'!E191-'Месяцы_рынки'!E179)/('Месяцы_рынки'!E191+'Месяцы_рынки'!E179)</x:f>
        <x:v>69.28345709756438</x:v>
      </x:c>
      <x:c r="E198" s="19" t="n">
        <x:f>200*('Месяцы_рынки'!F191-'Месяцы_рынки'!F179)/('Месяцы_рынки'!F191+'Месяцы_рынки'!F179)</x:f>
        <x:v>49.33678493860806</x:v>
      </x:c>
      <x:c r="F198" s="19" t="n">
        <x:f>200*('Месяцы_рынки'!G191-'Месяцы_рынки'!G179)/('Месяцы_рынки'!G191+'Месяцы_рынки'!G179)</x:f>
        <x:v>18.000281914422786</x:v>
      </x:c>
      <x:c r="G198" s="19" t="n">
        <x:f>200*('Месяцы_рынки'!H191-'Месяцы_рынки'!H179)/('Месяцы_рынки'!H191+'Месяцы_рынки'!H179)</x:f>
        <x:v>24.095547637488764</x:v>
      </x:c>
      <x:c r="H198" s="19" t="n">
        <x:f>200*('Месяцы_рынки'!I191-'Месяцы_рынки'!I179)/('Месяцы_рынки'!I191+'Месяцы_рынки'!I179)</x:f>
        <x:v>41.724890091827945</x:v>
      </x:c>
      <x:c r="I198" s="19" t="n">
        <x:f>200*('Месяцы_рынки'!J191-'Месяцы_рынки'!J179)/('Месяцы_рынки'!J191+'Месяцы_рынки'!J179)</x:f>
        <x:v>39.08330717483279</x:v>
      </x:c>
      <x:c r="J198" s="19" t="n">
        <x:f>200*('Месяцы_рынки'!K191-'Месяцы_рынки'!K179)/('Месяцы_рынки'!K191+'Месяцы_рынки'!K179)</x:f>
        <x:v>1.5715742813215885</x:v>
      </x:c>
    </x:row>
    <x:row r="199" ht="22" customHeight="1">
      <x:c r="A199" s="20" t="d">
        <x:v>2024-06-01T00:00:00.000Z</x:v>
      </x:c>
      <x:c r="B199" s="19" t="n">
        <x:f>200*('Месяцы_рынки'!C192-'Месяцы_рынки'!C180)/('Месяцы_рынки'!C192+'Месяцы_рынки'!C180)</x:f>
        <x:v>24.949259870774018</x:v>
      </x:c>
      <x:c r="C199" s="19" t="n">
        <x:f>200*('Месяцы_рынки'!D192-'Месяцы_рынки'!D180)/('Месяцы_рынки'!D192+'Месяцы_рынки'!D180)</x:f>
        <x:v>34.53427638652919</x:v>
      </x:c>
      <x:c r="D199" s="19" t="n">
        <x:f>200*('Месяцы_рынки'!E192-'Месяцы_рынки'!E180)/('Месяцы_рынки'!E192+'Месяцы_рынки'!E180)</x:f>
        <x:v>75.18573673947395</x:v>
      </x:c>
      <x:c r="E199" s="19" t="n">
        <x:f>200*('Месяцы_рынки'!F192-'Месяцы_рынки'!F180)/('Месяцы_рынки'!F192+'Месяцы_рынки'!F180)</x:f>
        <x:v>48.185854266267455</x:v>
      </x:c>
      <x:c r="F199" s="19" t="n">
        <x:f>200*('Месяцы_рынки'!G192-'Месяцы_рынки'!G180)/('Месяцы_рынки'!G192+'Месяцы_рынки'!G180)</x:f>
        <x:v>-1.4136007039332137</x:v>
      </x:c>
      <x:c r="G199" s="19" t="n">
        <x:f>200*('Месяцы_рынки'!H192-'Месяцы_рынки'!H180)/('Месяцы_рынки'!H192+'Месяцы_рынки'!H180)</x:f>
        <x:v>38.268045266089246</x:v>
      </x:c>
      <x:c r="H199" s="19" t="n">
        <x:f>200*('Месяцы_рынки'!I192-'Месяцы_рынки'!I180)/('Месяцы_рынки'!I192+'Месяцы_рынки'!I180)</x:f>
        <x:v>43.06450114914739</x:v>
      </x:c>
      <x:c r="I199" s="19" t="n">
        <x:f>200*('Месяцы_рынки'!J192-'Месяцы_рынки'!J180)/('Месяцы_рынки'!J192+'Месяцы_рынки'!J180)</x:f>
        <x:v>-18.062021504993538</x:v>
      </x:c>
      <x:c r="J199" s="19" t="n">
        <x:f>200*('Месяцы_рынки'!K192-'Месяцы_рынки'!K180)/('Месяцы_рынки'!K192+'Месяцы_рынки'!K180)</x:f>
        <x:v>11.533921926106528</x:v>
      </x:c>
    </x:row>
    <x:row r="200" ht="22" customHeight="1">
      <x:c r="A200" s="20" t="d">
        <x:v>2024-07-01T00:00:00.000Z</x:v>
      </x:c>
      <x:c r="B200" s="19" t="n">
        <x:f>200*('Месяцы_рынки'!C193-'Месяцы_рынки'!C181)/('Месяцы_рынки'!C193+'Месяцы_рынки'!C181)</x:f>
        <x:v>30.442681237472076</x:v>
      </x:c>
      <x:c r="C200" s="19" t="n">
        <x:f>200*('Месяцы_рынки'!D193-'Месяцы_рынки'!D181)/('Месяцы_рынки'!D193+'Месяцы_рынки'!D181)</x:f>
        <x:v>32.37403376861842</x:v>
      </x:c>
      <x:c r="D200" s="19" t="n">
        <x:f>200*('Месяцы_рынки'!E193-'Месяцы_рынки'!E181)/('Месяцы_рынки'!E193+'Месяцы_рынки'!E181)</x:f>
        <x:v>93.7940856374898</x:v>
      </x:c>
      <x:c r="E200" s="19" t="n">
        <x:f>200*('Месяцы_рынки'!F193-'Месяцы_рынки'!F181)/('Месяцы_рынки'!F193+'Месяцы_рынки'!F181)</x:f>
        <x:v>64.17544305839684</x:v>
      </x:c>
      <x:c r="F200" s="19" t="n">
        <x:f>200*('Месяцы_рынки'!G193-'Месяцы_рынки'!G181)/('Месяцы_рынки'!G193+'Месяцы_рынки'!G181)</x:f>
        <x:v>-40.33105808452735</x:v>
      </x:c>
      <x:c r="G200" s="19" t="n">
        <x:f>200*('Месяцы_рынки'!H193-'Месяцы_рынки'!H181)/('Месяцы_рынки'!H193+'Месяцы_рынки'!H181)</x:f>
        <x:v>40.601218592568905</x:v>
      </x:c>
      <x:c r="H200" s="19" t="n">
        <x:f>200*('Месяцы_рынки'!I193-'Месяцы_рынки'!I181)/('Месяцы_рынки'!I193+'Месяцы_рынки'!I181)</x:f>
        <x:v>52.29585165544312</x:v>
      </x:c>
      <x:c r="I200" s="19" t="n">
        <x:f>200*('Месяцы_рынки'!J193-'Месяцы_рынки'!J181)/('Месяцы_рынки'!J193+'Месяцы_рынки'!J181)</x:f>
        <x:v>21.567449936029274</x:v>
      </x:c>
      <x:c r="J200" s="19" t="n">
        <x:f>200*('Месяцы_рынки'!K193-'Месяцы_рынки'!K181)/('Месяцы_рынки'!K193+'Месяцы_рынки'!K181)</x:f>
        <x:v>0.5402173159571736</x:v>
      </x:c>
    </x:row>
    <x:row r="201" ht="22" customHeight="1">
      <x:c r="A201" s="20" t="d">
        <x:v>2024-08-01T00:00:00.000Z</x:v>
      </x:c>
      <x:c r="B201" s="19" t="n">
        <x:f>200*('Месяцы_рынки'!C194-'Месяцы_рынки'!C182)/('Месяцы_рынки'!C194+'Месяцы_рынки'!C182)</x:f>
        <x:v>16.974582796327102</x:v>
      </x:c>
      <x:c r="C201" s="19" t="n">
        <x:f>200*('Месяцы_рынки'!D194-'Месяцы_рынки'!D182)/('Месяцы_рынки'!D194+'Месяцы_рынки'!D182)</x:f>
        <x:v>24.682767865438894</x:v>
      </x:c>
      <x:c r="D201" s="19" t="n">
        <x:f>200*('Месяцы_рынки'!E194-'Месяцы_рынки'!E182)/('Месяцы_рынки'!E194+'Месяцы_рынки'!E182)</x:f>
        <x:v>80.68119375608764</x:v>
      </x:c>
      <x:c r="E201" s="19" t="n">
        <x:f>200*('Месяцы_рынки'!F194-'Месяцы_рынки'!F182)/('Месяцы_рынки'!F194+'Месяцы_рынки'!F182)</x:f>
        <x:v>29.41642585784482</x:v>
      </x:c>
      <x:c r="F201" s="19" t="n">
        <x:f>200*('Месяцы_рынки'!G194-'Месяцы_рынки'!G182)/('Месяцы_рынки'!G194+'Месяцы_рынки'!G182)</x:f>
        <x:v>-59.963905470722395</x:v>
      </x:c>
      <x:c r="G201" s="19" t="n">
        <x:f>200*('Месяцы_рынки'!H194-'Месяцы_рынки'!H182)/('Месяцы_рынки'!H194+'Месяцы_рынки'!H182)</x:f>
        <x:v>19.89289991543723</x:v>
      </x:c>
      <x:c r="H201" s="19" t="n">
        <x:f>200*('Месяцы_рынки'!I194-'Месяцы_рынки'!I182)/('Месяцы_рынки'!I194+'Месяцы_рынки'!I182)</x:f>
        <x:v>37.34571937423785</x:v>
      </x:c>
      <x:c r="I201" s="19" t="n">
        <x:f>200*('Месяцы_рынки'!J194-'Месяцы_рынки'!J182)/('Месяцы_рынки'!J194+'Месяцы_рынки'!J182)</x:f>
        <x:v>44.93273793762866</x:v>
      </x:c>
      <x:c r="J201" s="19" t="n">
        <x:f>200*('Месяцы_рынки'!K194-'Месяцы_рынки'!K182)/('Месяцы_рынки'!K194+'Месяцы_рынки'!K182)</x:f>
        <x:v>16.64460464665757</x:v>
      </x:c>
    </x:row>
    <x:row r="202" ht="22" customHeight="1">
      <x:c r="A202" s="20" t="d">
        <x:v>2024-09-01T00:00:00.000Z</x:v>
      </x:c>
      <x:c r="B202" s="19" t="n">
        <x:f>200*('Месяцы_рынки'!C195-'Месяцы_рынки'!C183)/('Месяцы_рынки'!C195+'Месяцы_рынки'!C183)</x:f>
        <x:v>18.50805344433021</x:v>
      </x:c>
      <x:c r="C202" s="19" t="n">
        <x:f>200*('Месяцы_рынки'!D195-'Месяцы_рынки'!D183)/('Месяцы_рынки'!D195+'Месяцы_рынки'!D183)</x:f>
        <x:v>20.77810826136593</x:v>
      </x:c>
      <x:c r="D202" s="19" t="n">
        <x:f>200*('Месяцы_рынки'!E195-'Месяцы_рынки'!E183)/('Месяцы_рынки'!E195+'Месяцы_рынки'!E183)</x:f>
        <x:v>76.51802931779979</x:v>
      </x:c>
      <x:c r="E202" s="19" t="n">
        <x:f>200*('Месяцы_рынки'!F195-'Месяцы_рынки'!F183)/('Месяцы_рынки'!F195+'Месяцы_рынки'!F183)</x:f>
        <x:v>28.464238007334398</x:v>
      </x:c>
      <x:c r="F202" s="19" t="n">
        <x:f>200*('Месяцы_рынки'!G195-'Месяцы_рынки'!G183)/('Месяцы_рынки'!G195+'Месяцы_рынки'!G183)</x:f>
        <x:v>-49.51967724533569</x:v>
      </x:c>
      <x:c r="G202" s="19" t="n">
        <x:f>200*('Месяцы_рынки'!H195-'Месяцы_рынки'!H183)/('Месяцы_рынки'!H195+'Месяцы_рынки'!H183)</x:f>
        <x:v>53.6451006412613</x:v>
      </x:c>
      <x:c r="H202" s="19" t="n">
        <x:f>200*('Месяцы_рынки'!I195-'Месяцы_рынки'!I183)/('Месяцы_рынки'!I195+'Месяцы_рынки'!I183)</x:f>
        <x:v>106.82925307516768</x:v>
      </x:c>
      <x:c r="I202" s="19" t="n">
        <x:f>200*('Месяцы_рынки'!J195-'Месяцы_рынки'!J183)/('Месяцы_рынки'!J195+'Месяцы_рынки'!J183)</x:f>
        <x:v>-20.067217504684766</x:v>
      </x:c>
      <x:c r="J202" s="19" t="n">
        <x:f>200*('Месяцы_рынки'!K195-'Месяцы_рынки'!K183)/('Месяцы_рынки'!K195+'Месяцы_рынки'!K183)</x:f>
        <x:v>12.900146999192902</x:v>
      </x:c>
    </x:row>
    <x:row r="203" ht="22" customHeight="1">
      <x:c r="A203" s="20" t="d">
        <x:v>2024-10-01T00:00:00.000Z</x:v>
      </x:c>
      <x:c r="B203" s="19" t="n">
        <x:f>200*('Месяцы_рынки'!C196-'Месяцы_рынки'!C184)/('Месяцы_рынки'!C196+'Месяцы_рынки'!C184)</x:f>
        <x:v>20.45107697661909</x:v>
      </x:c>
      <x:c r="C203" s="19" t="n">
        <x:f>200*('Месяцы_рынки'!D196-'Месяцы_рынки'!D184)/('Месяцы_рынки'!D196+'Месяцы_рынки'!D184)</x:f>
        <x:v>-17.676239795400196</x:v>
      </x:c>
      <x:c r="D203" s="19" t="n">
        <x:f>200*('Месяцы_рынки'!E196-'Месяцы_рынки'!E184)/('Месяцы_рынки'!E196+'Месяцы_рынки'!E184)</x:f>
        <x:v>101.727547198819</x:v>
      </x:c>
      <x:c r="E203" s="19" t="n">
        <x:f>200*('Месяцы_рынки'!F196-'Месяцы_рынки'!F184)/('Месяцы_рынки'!F196+'Месяцы_рынки'!F184)</x:f>
        <x:v>46.145937041383114</x:v>
      </x:c>
      <x:c r="F203" s="19" t="n">
        <x:f>200*('Месяцы_рынки'!G196-'Месяцы_рынки'!G184)/('Месяцы_рынки'!G196+'Месяцы_рынки'!G184)</x:f>
        <x:v>-34.375416523273046</x:v>
      </x:c>
      <x:c r="G203" s="19" t="n">
        <x:f>200*('Месяцы_рынки'!H196-'Месяцы_рынки'!H184)/('Месяцы_рынки'!H196+'Месяцы_рынки'!H184)</x:f>
        <x:v>31.983111689814603</x:v>
      </x:c>
      <x:c r="H203" s="19" t="n">
        <x:f>200*('Месяцы_рынки'!I196-'Месяцы_рынки'!I184)/('Месяцы_рынки'!I196+'Месяцы_рынки'!I184)</x:f>
        <x:v>113.67755375982597</x:v>
      </x:c>
      <x:c r="I203" s="19" t="n">
        <x:f>200*('Месяцы_рынки'!J196-'Месяцы_рынки'!J184)/('Месяцы_рынки'!J196+'Месяцы_рынки'!J184)</x:f>
        <x:v>-5.681519677795644</x:v>
      </x:c>
      <x:c r="J203" s="19" t="n">
        <x:f>200*('Месяцы_рынки'!K196-'Месяцы_рынки'!K184)/('Месяцы_рынки'!K196+'Месяцы_рынки'!K184)</x:f>
        <x:v>32.08582374936907</x:v>
      </x:c>
    </x:row>
    <x:row r="204" ht="22" customHeight="1">
      <x:c r="A204" s="20" t="d">
        <x:v>2024-11-01T00:00:00.000Z</x:v>
      </x:c>
      <x:c r="B204" s="19" t="n">
        <x:f>200*('Месяцы_рынки'!C197-'Месяцы_рынки'!C185)/('Месяцы_рынки'!C197+'Месяцы_рынки'!C185)</x:f>
        <x:v>11.720851422033887</x:v>
      </x:c>
      <x:c r="C204" s="19" t="n">
        <x:f>200*('Месяцы_рынки'!D197-'Месяцы_рынки'!D185)/('Месяцы_рынки'!D197+'Месяцы_рынки'!D185)</x:f>
        <x:v>-18.5714243998238</x:v>
      </x:c>
      <x:c r="D204" s="19" t="n">
        <x:f>200*('Месяцы_рынки'!E197-'Месяцы_рынки'!E185)/('Месяцы_рынки'!E197+'Месяцы_рынки'!E185)</x:f>
        <x:v>101.83997467316799</x:v>
      </x:c>
      <x:c r="E204" s="19" t="n">
        <x:f>200*('Месяцы_рынки'!F197-'Месяцы_рынки'!F185)/('Месяцы_рынки'!F197+'Месяцы_рынки'!F185)</x:f>
        <x:v>35.855140532272124</x:v>
      </x:c>
      <x:c r="F204" s="19" t="n">
        <x:f>200*('Месяцы_рынки'!G197-'Месяцы_рынки'!G185)/('Месяцы_рынки'!G197+'Месяцы_рынки'!G185)</x:f>
        <x:v>-27.581316079882495</x:v>
      </x:c>
      <x:c r="G204" s="19" t="n">
        <x:f>200*('Месяцы_рынки'!H197-'Месяцы_рынки'!H185)/('Месяцы_рынки'!H197+'Месяцы_рынки'!H185)</x:f>
        <x:v>4.2347759497245026</x:v>
      </x:c>
      <x:c r="H204" s="19" t="n">
        <x:f>200*('Месяцы_рынки'!I197-'Месяцы_рынки'!I185)/('Месяцы_рынки'!I197+'Месяцы_рынки'!I185)</x:f>
        <x:v>118.14218518960146</x:v>
      </x:c>
      <x:c r="I204" s="19" t="n">
        <x:f>200*('Месяцы_рынки'!J197-'Месяцы_рынки'!J185)/('Месяцы_рынки'!J197+'Месяцы_рынки'!J185)</x:f>
        <x:v>3.907043494933971</x:v>
      </x:c>
      <x:c r="J204" s="19" t="n">
        <x:f>200*('Месяцы_рынки'!K197-'Месяцы_рынки'!K185)/('Месяцы_рынки'!K197+'Месяцы_рынки'!K185)</x:f>
        <x:v>20.871430363324762</x:v>
      </x:c>
    </x:row>
    <x:row r="205" ht="22" customHeight="1">
      <x:c r="A205" s="20" t="d">
        <x:v>2024-12-01T00:00:00.000Z</x:v>
      </x:c>
      <x:c r="B205" s="19" t="n">
        <x:f>200*('Месяцы_рынки'!C198-'Месяцы_рынки'!C186)/('Месяцы_рынки'!C198+'Месяцы_рынки'!C186)</x:f>
        <x:v>17.99961035100295</x:v>
      </x:c>
      <x:c r="C205" s="19" t="n">
        <x:f>200*('Месяцы_рынки'!D198-'Месяцы_рынки'!D186)/('Месяцы_рынки'!D198+'Месяцы_рынки'!D186)</x:f>
        <x:v>3.7853046914434256</x:v>
      </x:c>
      <x:c r="D205" s="19" t="n">
        <x:f>200*('Месяцы_рынки'!E198-'Месяцы_рынки'!E186)/('Месяцы_рынки'!E198+'Месяцы_рынки'!E186)</x:f>
        <x:v>95.72459421783157</x:v>
      </x:c>
      <x:c r="E205" s="19" t="n">
        <x:f>200*('Месяцы_рынки'!F198-'Месяцы_рынки'!F186)/('Месяцы_рынки'!F198+'Месяцы_рынки'!F186)</x:f>
        <x:v>1.774276149776982</x:v>
      </x:c>
      <x:c r="F205" s="19" t="n">
        <x:f>200*('Месяцы_рынки'!G198-'Месяцы_рынки'!G186)/('Месяцы_рынки'!G198+'Месяцы_рынки'!G186)</x:f>
        <x:v>9.965998647753654</x:v>
      </x:c>
      <x:c r="G205" s="19" t="n">
        <x:f>200*('Месяцы_рынки'!H198-'Месяцы_рынки'!H186)/('Месяцы_рынки'!H198+'Месяцы_рынки'!H186)</x:f>
        <x:v>21.668580231430088</x:v>
      </x:c>
      <x:c r="H205" s="19" t="n">
        <x:f>200*('Месяцы_рынки'!I198-'Месяцы_рынки'!I186)/('Месяцы_рынки'!I198+'Месяцы_рынки'!I186)</x:f>
        <x:v>87.53161714145223</x:v>
      </x:c>
      <x:c r="I205" s="19" t="n">
        <x:f>200*('Месяцы_рынки'!J198-'Месяцы_рынки'!J186)/('Месяцы_рынки'!J198+'Месяцы_рынки'!J186)</x:f>
        <x:v>2.247207327769838</x:v>
      </x:c>
      <x:c r="J205" s="19" t="n">
        <x:f>200*('Месяцы_рынки'!K198-'Месяцы_рынки'!K186)/('Месяцы_рынки'!K198+'Месяцы_рынки'!K186)</x:f>
        <x:v>-5.462260345229557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3" hidden="0" customWidth="1"/>
    <x:col min="4" max="4" width="26" hidden="0" customWidth="1"/>
    <x:col min="5" max="5" width="28" hidden="0" customWidth="1"/>
    <x:col min="6" max="6" width="25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9" customHeight="1">
      <x:c r="A2" s="4" t="str">
        <x:v>Приложение В. Временные ряды условных индексов</x:v>
      </x:c>
      <x:c r="B2" s="5"/>
      <x:c r="C2" s="5"/>
      <x:c r="D2" s="5"/>
      <x:c r="E2" s="5"/>
      <x:c r="F2" s="5"/>
    </x:row>
    <x:row r="3" ht="22" customHeight="1">
      <x:c r="A3" s="6" t="str">
        <x:v>Значения условного симметричного роста, п.п. Общая история 2018–2024; меняются только фиксированные веса.</x:v>
      </x:c>
      <x:c r="B3" s="2"/>
      <x:c r="C3" s="2"/>
      <x:c r="D3" s="2"/>
      <x:c r="E3" s="2"/>
      <x:c r="F3" s="2"/>
    </x:row>
    <x:row r="4" ht="22" customHeight="1">
      <x:c r="A4" s="7" t="str">
        <x:v>Источник: S06</x:v>
      </x:c>
      <x:c r="B4" s="2"/>
      <x:c r="C4" s="2"/>
      <x:c r="D4" s="2"/>
      <x:c r="E4" s="2"/>
      <x:c r="F4" s="2"/>
    </x:row>
    <x:row r="5" ht="26" customHeight="1">
      <x:c r="A5" s="8" t="str">
        <x:v>Условные ряды</x:v>
      </x:c>
      <x:c r="B5" s="2"/>
      <x:c r="C5" s="2"/>
      <x:c r="D5" s="2"/>
      <x:c r="E5" s="2"/>
      <x:c r="F5" s="2"/>
    </x:row>
    <x:row r="6" ht="36" customHeight="1">
      <x:c r="A6" s="13" t="str">
        <x:v>Страна</x:v>
      </x:c>
      <x:c r="B6" s="13" t="str">
        <x:v>Месяц</x:v>
      </x:c>
      <x:c r="C6" s="13" t="str">
        <x:v>Исходный, п.п.</x:v>
      </x:c>
      <x:c r="D6" s="13" t="str">
        <x:v>Товар 2024, п.п.</x:v>
      </x:c>
      <x:c r="E6" s="13" t="str">
        <x:v>География 2024, п.п.</x:v>
      </x:c>
      <x:c r="F6" s="13" t="str">
        <x:v>Конечный, п.п.</x:v>
      </x:c>
    </x:row>
    <x:row r="7" ht="22" customHeight="1">
      <x:c r="A7" s="15" t="str">
        <x:v>Япония</x:v>
      </x:c>
      <x:c r="B7" s="20" t="d">
        <x:v>2018-01-01T00:00:00.000Z</x:v>
      </x:c>
      <x:c r="C7" s="19" t="n">
        <x:v>9.15946627124873</x:v>
      </x:c>
      <x:c r="D7" s="19" t="n">
        <x:v>9.95157474445679</x:v>
      </x:c>
      <x:c r="E7" s="19" t="n">
        <x:v>10.32147817995883</x:v>
      </x:c>
      <x:c r="F7" s="19" t="n">
        <x:v>11.232814805235911</x:v>
      </x:c>
    </x:row>
    <x:row r="8" ht="22" customHeight="1">
      <x:c r="A8" s="15" t="str">
        <x:v>Япония</x:v>
      </x:c>
      <x:c r="B8" s="20" t="d">
        <x:v>2018-02-01T00:00:00.000Z</x:v>
      </x:c>
      <x:c r="C8" s="19" t="n">
        <x:v>-1.44768943818498</x:v>
      </x:c>
      <x:c r="D8" s="19" t="n">
        <x:v>-0.58547802280269</x:v>
      </x:c>
      <x:c r="E8" s="19" t="n">
        <x:v>-3.16097950223924</x:v>
      </x:c>
      <x:c r="F8" s="19" t="n">
        <x:v>-2.53427431451655</x:v>
      </x:c>
    </x:row>
    <x:row r="9" ht="22" customHeight="1">
      <x:c r="A9" s="15" t="str">
        <x:v>Япония</x:v>
      </x:c>
      <x:c r="B9" s="20" t="d">
        <x:v>2018-03-01T00:00:00.000Z</x:v>
      </x:c>
      <x:c r="C9" s="19" t="n">
        <x:v>9.76682149227324</x:v>
      </x:c>
      <x:c r="D9" s="19" t="n">
        <x:v>11.14036063072473</x:v>
      </x:c>
      <x:c r="E9" s="19" t="n">
        <x:v>8.228676860976309</x:v>
      </x:c>
      <x:c r="F9" s="19" t="n">
        <x:v>9.43332063940513</x:v>
      </x:c>
    </x:row>
    <x:row r="10" ht="22" customHeight="1">
      <x:c r="A10" s="15" t="str">
        <x:v>Япония</x:v>
      </x:c>
      <x:c r="B10" s="20" t="d">
        <x:v>2018-04-01T00:00:00.000Z</x:v>
      </x:c>
      <x:c r="C10" s="19" t="n">
        <x:v>9.40262503597188</x:v>
      </x:c>
      <x:c r="D10" s="19" t="n">
        <x:v>11.144513740041189</x:v>
      </x:c>
      <x:c r="E10" s="19" t="n">
        <x:v>10.13539211754175</x:v>
      </x:c>
      <x:c r="F10" s="19" t="n">
        <x:v>11.777996897367581</x:v>
      </x:c>
    </x:row>
    <x:row r="11" ht="22" customHeight="1">
      <x:c r="A11" s="15" t="str">
        <x:v>Япония</x:v>
      </x:c>
      <x:c r="B11" s="20" t="d">
        <x:v>2018-05-01T00:00:00.000Z</x:v>
      </x:c>
      <x:c r="C11" s="19" t="n">
        <x:v>7.059660727977091</x:v>
      </x:c>
      <x:c r="D11" s="19" t="n">
        <x:v>8.38063113628797</x:v>
      </x:c>
      <x:c r="E11" s="19" t="n">
        <x:v>9.62186575176163</x:v>
      </x:c>
      <x:c r="F11" s="19" t="n">
        <x:v>11.03249776195201</x:v>
      </x:c>
    </x:row>
    <x:row r="12" ht="22" customHeight="1">
      <x:c r="A12" s="15" t="str">
        <x:v>Япония</x:v>
      </x:c>
      <x:c r="B12" s="20" t="d">
        <x:v>2018-06-01T00:00:00.000Z</x:v>
      </x:c>
      <x:c r="C12" s="19" t="n">
        <x:v>7.22114685268172</x:v>
      </x:c>
      <x:c r="D12" s="19" t="n">
        <x:v>8.59737697218695</x:v>
      </x:c>
      <x:c r="E12" s="19" t="n">
        <x:v>9.47247955931646</x:v>
      </x:c>
      <x:c r="F12" s="19" t="n">
        <x:v>10.93788652709845</x:v>
      </x:c>
    </x:row>
    <x:row r="13" ht="22" customHeight="1">
      <x:c r="A13" s="15" t="str">
        <x:v>Япония</x:v>
      </x:c>
      <x:c r="B13" s="20" t="d">
        <x:v>2018-07-01T00:00:00.000Z</x:v>
      </x:c>
      <x:c r="C13" s="19" t="n">
        <x:v>7.2867049423056205</x:v>
      </x:c>
      <x:c r="D13" s="19" t="n">
        <x:v>8.89783772657679</x:v>
      </x:c>
      <x:c r="E13" s="19" t="n">
        <x:v>11.17747299608217</x:v>
      </x:c>
      <x:c r="F13" s="19" t="n">
        <x:v>13.00598652291054</x:v>
      </x:c>
    </x:row>
    <x:row r="14" ht="22" customHeight="1">
      <x:c r="A14" s="15" t="str">
        <x:v>Япония</x:v>
      </x:c>
      <x:c r="B14" s="20" t="d">
        <x:v>2018-08-01T00:00:00.000Z</x:v>
      </x:c>
      <x:c r="C14" s="19" t="n">
        <x:v>-0.45962789799664</x:v>
      </x:c>
      <x:c r="D14" s="19" t="n">
        <x:v>0.65587192134363</x:v>
      </x:c>
      <x:c r="E14" s="19" t="n">
        <x:v>5.17807873274299</x:v>
      </x:c>
      <x:c r="F14" s="19" t="n">
        <x:v>6.70278532949297</x:v>
      </x:c>
    </x:row>
    <x:row r="15" ht="22" customHeight="1">
      <x:c r="A15" s="15" t="str">
        <x:v>Япония</x:v>
      </x:c>
      <x:c r="B15" s="20" t="d">
        <x:v>2018-09-01T00:00:00.000Z</x:v>
      </x:c>
      <x:c r="C15" s="19" t="n">
        <x:v>-6.95815494995167</x:v>
      </x:c>
      <x:c r="D15" s="19" t="n">
        <x:v>-5.05893706383904</x:v>
      </x:c>
      <x:c r="E15" s="19" t="n">
        <x:v>-0.04215754945807</x:v>
      </x:c>
      <x:c r="F15" s="19" t="n">
        <x:v>2.46340478421649</x:v>
      </x:c>
    </x:row>
    <x:row r="16" ht="22" customHeight="1">
      <x:c r="A16" s="15" t="str">
        <x:v>Япония</x:v>
      </x:c>
      <x:c r="B16" s="20" t="d">
        <x:v>2018-10-01T00:00:00.000Z</x:v>
      </x:c>
      <x:c r="C16" s="19" t="n">
        <x:v>7.65612042580229</x:v>
      </x:c>
      <x:c r="D16" s="19" t="n">
        <x:v>9.97491420019217</x:v>
      </x:c>
      <x:c r="E16" s="19" t="n">
        <x:v>10.77594376497762</x:v>
      </x:c>
      <x:c r="F16" s="19" t="n">
        <x:v>13.36538534948726</x:v>
      </x:c>
    </x:row>
    <x:row r="17" ht="22" customHeight="1">
      <x:c r="A17" s="15" t="str">
        <x:v>Япония</x:v>
      </x:c>
      <x:c r="B17" s="20" t="d">
        <x:v>2018-11-01T00:00:00.000Z</x:v>
      </x:c>
      <x:c r="C17" s="19" t="n">
        <x:v>-1.7492532478957001</x:v>
      </x:c>
      <x:c r="D17" s="19" t="n">
        <x:v>0.43337598526531007</x:v>
      </x:c>
      <x:c r="E17" s="19" t="n">
        <x:v>-0.83398817819486</x:v>
      </x:c>
      <x:c r="F17" s="19" t="n">
        <x:v>1.2304470062311799</x:v>
      </x:c>
    </x:row>
    <x:row r="18" ht="22" customHeight="1">
      <x:c r="A18" s="15" t="str">
        <x:v>Япония</x:v>
      </x:c>
      <x:c r="B18" s="20" t="d">
        <x:v>2018-12-01T00:00:00.000Z</x:v>
      </x:c>
      <x:c r="C18" s="19" t="n">
        <x:v>-11.60774809973685</x:v>
      </x:c>
      <x:c r="D18" s="19" t="n">
        <x:v>-10.042146333293429</x:v>
      </x:c>
      <x:c r="E18" s="19" t="n">
        <x:v>-11.11011011714999</x:v>
      </x:c>
      <x:c r="F18" s="19" t="n">
        <x:v>-9.64431892129849</x:v>
      </x:c>
    </x:row>
    <x:row r="19" ht="22" customHeight="1">
      <x:c r="A19" s="15" t="str">
        <x:v>Япония</x:v>
      </x:c>
      <x:c r="B19" s="20" t="d">
        <x:v>2019-01-01T00:00:00.000Z</x:v>
      </x:c>
      <x:c r="C19" s="19" t="n">
        <x:v>-7.1777872291658396</x:v>
      </x:c>
      <x:c r="D19" s="19" t="n">
        <x:v>-5.52692104098811</x:v>
      </x:c>
      <x:c r="E19" s="19" t="n">
        <x:v>-4.71538658649314</x:v>
      </x:c>
      <x:c r="F19" s="19" t="n">
        <x:v>-3.1438991443886897</x:v>
      </x:c>
    </x:row>
    <x:row r="20" ht="22" customHeight="1">
      <x:c r="A20" s="15" t="str">
        <x:v>Япония</x:v>
      </x:c>
      <x:c r="B20" s="20" t="d">
        <x:v>2019-02-01T00:00:00.000Z</x:v>
      </x:c>
      <x:c r="C20" s="19" t="n">
        <x:v>-15.652473371008629</x:v>
      </x:c>
      <x:c r="D20" s="19" t="n">
        <x:v>-14.803910945045521</x:v>
      </x:c>
      <x:c r="E20" s="19" t="n">
        <x:v>-10.82331374605757</x:v>
      </x:c>
      <x:c r="F20" s="19" t="n">
        <x:v>-9.63482480322298</x:v>
      </x:c>
    </x:row>
    <x:row r="21" ht="22" customHeight="1">
      <x:c r="A21" s="15" t="str">
        <x:v>Япония</x:v>
      </x:c>
      <x:c r="B21" s="20" t="d">
        <x:v>2019-03-01T00:00:00.000Z</x:v>
      </x:c>
      <x:c r="C21" s="19" t="n">
        <x:v>-13.52582943273625</x:v>
      </x:c>
      <x:c r="D21" s="19" t="n">
        <x:v>-12.33849060055808</x:v>
      </x:c>
      <x:c r="E21" s="19" t="n">
        <x:v>-8.068625228716341</x:v>
      </x:c>
      <x:c r="F21" s="19" t="n">
        <x:v>-6.48834514104812</x:v>
      </x:c>
    </x:row>
    <x:row r="22" ht="22" customHeight="1">
      <x:c r="A22" s="15" t="str">
        <x:v>Япония</x:v>
      </x:c>
      <x:c r="B22" s="20" t="d">
        <x:v>2019-04-01T00:00:00.000Z</x:v>
      </x:c>
      <x:c r="C22" s="19" t="n">
        <x:v>-15.17401771550671</x:v>
      </x:c>
      <x:c r="D22" s="19" t="n">
        <x:v>-14.57480642032264</x:v>
      </x:c>
      <x:c r="E22" s="19" t="n">
        <x:v>-9.24128149337287</x:v>
      </x:c>
      <x:c r="F22" s="19" t="n">
        <x:v>-8.17062787972988</x:v>
      </x:c>
    </x:row>
    <x:row r="23" ht="22" customHeight="1">
      <x:c r="A23" s="15" t="str">
        <x:v>Япония</x:v>
      </x:c>
      <x:c r="B23" s="20" t="d">
        <x:v>2019-05-01T00:00:00.000Z</x:v>
      </x:c>
      <x:c r="C23" s="19" t="n">
        <x:v>-4.1113062008866805</x:v>
      </x:c>
      <x:c r="D23" s="19" t="n">
        <x:v>-2.26506729820089</x:v>
      </x:c>
      <x:c r="E23" s="19" t="n">
        <x:v>-0.8905160917992699</x:v>
      </x:c>
      <x:c r="F23" s="19" t="n">
        <x:v>1.04521828335136</x:v>
      </x:c>
    </x:row>
    <x:row r="24" ht="22" customHeight="1">
      <x:c r="A24" s="15" t="str">
        <x:v>Япония</x:v>
      </x:c>
      <x:c r="B24" s="20" t="d">
        <x:v>2019-06-01T00:00:00.000Z</x:v>
      </x:c>
      <x:c r="C24" s="19" t="n">
        <x:v>-10.39434132555881</x:v>
      </x:c>
      <x:c r="D24" s="19" t="n">
        <x:v>-9.4322795530398</x:v>
      </x:c>
      <x:c r="E24" s="19" t="n">
        <x:v>-5.2377343037491</x:v>
      </x:c>
      <x:c r="F24" s="19" t="n">
        <x:v>-3.79763916575901</x:v>
      </x:c>
    </x:row>
    <x:row r="25" ht="22" customHeight="1">
      <x:c r="A25" s="15" t="str">
        <x:v>Япония</x:v>
      </x:c>
      <x:c r="B25" s="20" t="d">
        <x:v>2019-07-01T00:00:00.000Z</x:v>
      </x:c>
      <x:c r="C25" s="19" t="n">
        <x:v>-7.697591595862729</x:v>
      </x:c>
      <x:c r="D25" s="19" t="n">
        <x:v>-6.574386710872799</x:v>
      </x:c>
      <x:c r="E25" s="19" t="n">
        <x:v>-3.44284948318335</x:v>
      </x:c>
      <x:c r="F25" s="19" t="n">
        <x:v>-2.02983769899115</x:v>
      </x:c>
    </x:row>
    <x:row r="26" ht="22" customHeight="1">
      <x:c r="A26" s="15" t="str">
        <x:v>Япония</x:v>
      </x:c>
      <x:c r="B26" s="20" t="d">
        <x:v>2019-08-01T00:00:00.000Z</x:v>
      </x:c>
      <x:c r="C26" s="19" t="n">
        <x:v>1.45224838613303</x:v>
      </x:c>
      <x:c r="D26" s="19" t="n">
        <x:v>2.86330406770929</x:v>
      </x:c>
      <x:c r="E26" s="19" t="n">
        <x:v>4.15166721586169</x:v>
      </x:c>
      <x:c r="F26" s="19" t="n">
        <x:v>5.65505752684952</x:v>
      </x:c>
    </x:row>
    <x:row r="27" ht="22" customHeight="1">
      <x:c r="A27" s="15" t="str">
        <x:v>Япония</x:v>
      </x:c>
      <x:c r="B27" s="20" t="d">
        <x:v>2019-09-01T00:00:00.000Z</x:v>
      </x:c>
      <x:c r="C27" s="19" t="n">
        <x:v>9.221723319856439</x:v>
      </x:c>
      <x:c r="D27" s="19" t="n">
        <x:v>10.89658936587651</x:v>
      </x:c>
      <x:c r="E27" s="19" t="n">
        <x:v>10.87980495231648</x:v>
      </x:c>
      <x:c r="F27" s="19" t="n">
        <x:v>12.56048822572146</x:v>
      </x:c>
    </x:row>
    <x:row r="28" ht="22" customHeight="1">
      <x:c r="A28" s="15" t="str">
        <x:v>Япония</x:v>
      </x:c>
      <x:c r="B28" s="20" t="d">
        <x:v>2019-10-01T00:00:00.000Z</x:v>
      </x:c>
      <x:c r="C28" s="19" t="n">
        <x:v>5.27624032474623</x:v>
      </x:c>
      <x:c r="D28" s="19" t="n">
        <x:v>6.47101274758104</x:v>
      </x:c>
      <x:c r="E28" s="19" t="n">
        <x:v>10.44505226894112</x:v>
      </x:c>
      <x:c r="F28" s="19" t="n">
        <x:v>11.86523308184485</x:v>
      </x:c>
    </x:row>
    <x:row r="29" ht="22" customHeight="1">
      <x:c r="A29" s="15" t="str">
        <x:v>Япония</x:v>
      </x:c>
      <x:c r="B29" s="20" t="d">
        <x:v>2019-11-01T00:00:00.000Z</x:v>
      </x:c>
      <x:c r="C29" s="19" t="n">
        <x:v>0.8926229717730599</x:v>
      </x:c>
      <x:c r="D29" s="19" t="n">
        <x:v>1.46427389303883</x:v>
      </x:c>
      <x:c r="E29" s="19" t="n">
        <x:v>5.14593010470224</x:v>
      </x:c>
      <x:c r="F29" s="19" t="n">
        <x:v>6.01380469056616</x:v>
      </x:c>
    </x:row>
    <x:row r="30" ht="22" customHeight="1">
      <x:c r="A30" s="15" t="str">
        <x:v>Япония</x:v>
      </x:c>
      <x:c r="B30" s="20" t="d">
        <x:v>2019-12-01T00:00:00.000Z</x:v>
      </x:c>
      <x:c r="C30" s="19" t="n">
        <x:v>4.98833662323332</x:v>
      </x:c>
      <x:c r="D30" s="19" t="n">
        <x:v>6.254189018775359</x:v>
      </x:c>
      <x:c r="E30" s="19" t="n">
        <x:v>12.43241222770724</x:v>
      </x:c>
      <x:c r="F30" s="19" t="n">
        <x:v>14.06630107620689</x:v>
      </x:c>
    </x:row>
    <x:row r="31" ht="22" customHeight="1">
      <x:c r="A31" s="15" t="str">
        <x:v>Япония</x:v>
      </x:c>
      <x:c r="B31" s="20" t="d">
        <x:v>2020-01-01T00:00:00.000Z</x:v>
      </x:c>
      <x:c r="C31" s="19" t="n">
        <x:v>1.7000242329870199</x:v>
      </x:c>
      <x:c r="D31" s="19" t="n">
        <x:v>3.23756652360302</x:v>
      </x:c>
      <x:c r="E31" s="19" t="n">
        <x:v>5.5499758702398605</x:v>
      </x:c>
      <x:c r="F31" s="19" t="n">
        <x:v>7.50765699275983</x:v>
      </x:c>
    </x:row>
    <x:row r="32" ht="22" customHeight="1">
      <x:c r="A32" s="15" t="str">
        <x:v>Япония</x:v>
      </x:c>
      <x:c r="B32" s="20" t="d">
        <x:v>2020-02-01T00:00:00.000Z</x:v>
      </x:c>
      <x:c r="C32" s="19" t="n">
        <x:v>17.55011022953753</x:v>
      </x:c>
      <x:c r="D32" s="19" t="n">
        <x:v>19.22168976270064</x:v>
      </x:c>
      <x:c r="E32" s="19" t="n">
        <x:v>20.53108215569355</x:v>
      </x:c>
      <x:c r="F32" s="19" t="n">
        <x:v>22.38295300390181</x:v>
      </x:c>
    </x:row>
    <x:row r="33" ht="22" customHeight="1">
      <x:c r="A33" s="15" t="str">
        <x:v>Япония</x:v>
      </x:c>
      <x:c r="B33" s="20" t="d">
        <x:v>2020-03-01T00:00:00.000Z</x:v>
      </x:c>
      <x:c r="C33" s="19" t="n">
        <x:v>7.89558981983056</x:v>
      </x:c>
      <x:c r="D33" s="19" t="n">
        <x:v>9.66003463554735</x:v>
      </x:c>
      <x:c r="E33" s="19" t="n">
        <x:v>8.30754493678674</x:v>
      </x:c>
      <x:c r="F33" s="19" t="n">
        <x:v>9.97296619872071</x:v>
      </x:c>
    </x:row>
    <x:row r="34" ht="22" customHeight="1">
      <x:c r="A34" s="15" t="str">
        <x:v>Япония</x:v>
      </x:c>
      <x:c r="B34" s="20" t="d">
        <x:v>2020-04-01T00:00:00.000Z</x:v>
      </x:c>
      <x:c r="C34" s="19" t="n">
        <x:v>4.87035965803246</x:v>
      </x:c>
      <x:c r="D34" s="19" t="n">
        <x:v>7.554859936872719</x:v>
      </x:c>
      <x:c r="E34" s="19" t="n">
        <x:v>4.94286479270599</x:v>
      </x:c>
      <x:c r="F34" s="19" t="n">
        <x:v>7.2966844577501995</x:v>
      </x:c>
    </x:row>
    <x:row r="35" ht="22" customHeight="1">
      <x:c r="A35" s="15" t="str">
        <x:v>Япония</x:v>
      </x:c>
      <x:c r="B35" s="20" t="d">
        <x:v>2020-05-01T00:00:00.000Z</x:v>
      </x:c>
      <x:c r="C35" s="19" t="n">
        <x:v>-9.13729286511403</x:v>
      </x:c>
      <x:c r="D35" s="19" t="n">
        <x:v>-7.77892333514498</x:v>
      </x:c>
      <x:c r="E35" s="19" t="n">
        <x:v>-8.26582229292273</x:v>
      </x:c>
      <x:c r="F35" s="19" t="n">
        <x:v>-7.1080552315056</x:v>
      </x:c>
    </x:row>
    <x:row r="36" ht="22" customHeight="1">
      <x:c r="A36" s="15" t="str">
        <x:v>Япония</x:v>
      </x:c>
      <x:c r="B36" s="20" t="d">
        <x:v>2020-06-01T00:00:00.000Z</x:v>
      </x:c>
      <x:c r="C36" s="19" t="n">
        <x:v>-9.8074503315577</x:v>
      </x:c>
      <x:c r="D36" s="19" t="n">
        <x:v>-7.85626424869124</x:v>
      </x:c>
      <x:c r="E36" s="19" t="n">
        <x:v>-7.91480258200708</x:v>
      </x:c>
      <x:c r="F36" s="19" t="n">
        <x:v>-6.13868680683659</x:v>
      </x:c>
    </x:row>
    <x:row r="37" ht="22" customHeight="1">
      <x:c r="A37" s="15" t="str">
        <x:v>Япония</x:v>
      </x:c>
      <x:c r="B37" s="20" t="d">
        <x:v>2020-07-01T00:00:00.000Z</x:v>
      </x:c>
      <x:c r="C37" s="19" t="n">
        <x:v>-3.8667988285762602</x:v>
      </x:c>
      <x:c r="D37" s="19" t="n">
        <x:v>-2.09497011746811</x:v>
      </x:c>
      <x:c r="E37" s="19" t="n">
        <x:v>-3.1606654367613904</x:v>
      </x:c>
      <x:c r="F37" s="19" t="n">
        <x:v>-1.55103117108061</x:v>
      </x:c>
    </x:row>
    <x:row r="38" ht="22" customHeight="1">
      <x:c r="A38" s="15" t="str">
        <x:v>Япония</x:v>
      </x:c>
      <x:c r="B38" s="20" t="d">
        <x:v>2020-08-01T00:00:00.000Z</x:v>
      </x:c>
      <x:c r="C38" s="19" t="n">
        <x:v>-5.6232220153320895</x:v>
      </x:c>
      <x:c r="D38" s="19" t="n">
        <x:v>-3.83242404715777</x:v>
      </x:c>
      <x:c r="E38" s="19" t="n">
        <x:v>-3.82172428153169</x:v>
      </x:c>
      <x:c r="F38" s="19" t="n">
        <x:v>-2.17519115831073</x:v>
      </x:c>
    </x:row>
    <x:row r="39" ht="22" customHeight="1">
      <x:c r="A39" s="15" t="str">
        <x:v>Япония</x:v>
      </x:c>
      <x:c r="B39" s="20" t="d">
        <x:v>2020-09-01T00:00:00.000Z</x:v>
      </x:c>
      <x:c r="C39" s="19" t="n">
        <x:v>-1.4232905530885</x:v>
      </x:c>
      <x:c r="D39" s="19" t="n">
        <x:v>-0.72121939827378</x:v>
      </x:c>
      <x:c r="E39" s="19" t="n">
        <x:v>3.06543850582728</x:v>
      </x:c>
      <x:c r="F39" s="19" t="n">
        <x:v>3.7798522511351496</x:v>
      </x:c>
    </x:row>
    <x:row r="40" ht="22" customHeight="1">
      <x:c r="A40" s="15" t="str">
        <x:v>Япония</x:v>
      </x:c>
      <x:c r="B40" s="20" t="d">
        <x:v>2020-10-01T00:00:00.000Z</x:v>
      </x:c>
      <x:c r="C40" s="19" t="n">
        <x:v>-8.80013826550099</x:v>
      </x:c>
      <x:c r="D40" s="19" t="n">
        <x:v>-9.2892327315962</x:v>
      </x:c>
      <x:c r="E40" s="19" t="n">
        <x:v>-4.2977935556293705</x:v>
      </x:c>
      <x:c r="F40" s="19" t="n">
        <x:v>-4.59016943538923</x:v>
      </x:c>
    </x:row>
    <x:row r="41" ht="22" customHeight="1">
      <x:c r="A41" s="15" t="str">
        <x:v>Япония</x:v>
      </x:c>
      <x:c r="B41" s="20" t="d">
        <x:v>2020-11-01T00:00:00.000Z</x:v>
      </x:c>
      <x:c r="C41" s="19" t="n">
        <x:v>-6.9469610820583005</x:v>
      </x:c>
      <x:c r="D41" s="19" t="n">
        <x:v>-6.941235028524099</x:v>
      </x:c>
      <x:c r="E41" s="19" t="n">
        <x:v>-2.22627467313099</x:v>
      </x:c>
      <x:c r="F41" s="19" t="n">
        <x:v>-1.96993678407851</x:v>
      </x:c>
    </x:row>
    <x:row r="42" ht="22" customHeight="1">
      <x:c r="A42" s="15" t="str">
        <x:v>Япония</x:v>
      </x:c>
      <x:c r="B42" s="20" t="d">
        <x:v>2020-12-01T00:00:00.000Z</x:v>
      </x:c>
      <x:c r="C42" s="19" t="n">
        <x:v>3.39126440976543</x:v>
      </x:c>
      <x:c r="D42" s="19" t="n">
        <x:v>3.02273968489575</x:v>
      </x:c>
      <x:c r="E42" s="19" t="n">
        <x:v>7.362607842790431</x:v>
      </x:c>
      <x:c r="F42" s="19" t="n">
        <x:v>7.2028053173515</x:v>
      </x:c>
    </x:row>
    <x:row r="43" ht="22" customHeight="1">
      <x:c r="A43" s="15" t="str">
        <x:v>Япония</x:v>
      </x:c>
      <x:c r="B43" s="20" t="d">
        <x:v>2021-01-01T00:00:00.000Z</x:v>
      </x:c>
      <x:c r="C43" s="19" t="n">
        <x:v>16.2797404372837</x:v>
      </x:c>
      <x:c r="D43" s="19" t="n">
        <x:v>16.17650224356245</x:v>
      </x:c>
      <x:c r="E43" s="19" t="n">
        <x:v>17.11947710418772</x:v>
      </x:c>
      <x:c r="F43" s="19" t="n">
        <x:v>16.67380525604408</x:v>
      </x:c>
    </x:row>
    <x:row r="44" ht="22" customHeight="1">
      <x:c r="A44" s="15" t="str">
        <x:v>Япония</x:v>
      </x:c>
      <x:c r="B44" s="20" t="d">
        <x:v>2021-02-01T00:00:00.000Z</x:v>
      </x:c>
      <x:c r="C44" s="19" t="n">
        <x:v>6.32109367985054</x:v>
      </x:c>
      <x:c r="D44" s="19" t="n">
        <x:v>6.76261851168582</x:v>
      </x:c>
      <x:c r="E44" s="19" t="n">
        <x:v>6.34350819579998</x:v>
      </x:c>
      <x:c r="F44" s="19" t="n">
        <x:v>6.63258347788898</x:v>
      </x:c>
    </x:row>
    <x:row r="45" ht="22" customHeight="1">
      <x:c r="A45" s="15" t="str">
        <x:v>Япония</x:v>
      </x:c>
      <x:c r="B45" s="20" t="d">
        <x:v>2021-03-01T00:00:00.000Z</x:v>
      </x:c>
      <x:c r="C45" s="19" t="n">
        <x:v>7.31713181209628</x:v>
      </x:c>
      <x:c r="D45" s="19" t="n">
        <x:v>6.7517013384451</x:v>
      </x:c>
      <x:c r="E45" s="19" t="n">
        <x:v>10.81460558224525</x:v>
      </x:c>
      <x:c r="F45" s="19" t="n">
        <x:v>10.271876755613201</x:v>
      </x:c>
    </x:row>
    <x:row r="46" ht="22" customHeight="1">
      <x:c r="A46" s="15" t="str">
        <x:v>Япония</x:v>
      </x:c>
      <x:c r="B46" s="20" t="d">
        <x:v>2021-04-01T00:00:00.000Z</x:v>
      </x:c>
      <x:c r="C46" s="19" t="n">
        <x:v>11.65868159149767</x:v>
      </x:c>
      <x:c r="D46" s="19" t="n">
        <x:v>10.16707029258933</x:v>
      </x:c>
      <x:c r="E46" s="19" t="n">
        <x:v>15.729515130816122</x:v>
      </x:c>
      <x:c r="F46" s="19" t="n">
        <x:v>14.58453571233204</x:v>
      </x:c>
    </x:row>
    <x:row r="47" ht="22" customHeight="1">
      <x:c r="A47" s="15" t="str">
        <x:v>Япония</x:v>
      </x:c>
      <x:c r="B47" s="20" t="d">
        <x:v>2021-05-01T00:00:00.000Z</x:v>
      </x:c>
      <x:c r="C47" s="19" t="n">
        <x:v>15.93372262972311</x:v>
      </x:c>
      <x:c r="D47" s="19" t="n">
        <x:v>14.92282917424734</x:v>
      </x:c>
      <x:c r="E47" s="19" t="n">
        <x:v>16.93805098664642</x:v>
      </x:c>
      <x:c r="F47" s="19" t="n">
        <x:v>15.96530443748933</x:v>
      </x:c>
    </x:row>
    <x:row r="48" ht="22" customHeight="1">
      <x:c r="A48" s="15" t="str">
        <x:v>Япония</x:v>
      </x:c>
      <x:c r="B48" s="20" t="d">
        <x:v>2021-06-01T00:00:00.000Z</x:v>
      </x:c>
      <x:c r="C48" s="19" t="n">
        <x:v>17.454529494183</x:v>
      </x:c>
      <x:c r="D48" s="19" t="n">
        <x:v>16.39784704634531</x:v>
      </x:c>
      <x:c r="E48" s="19" t="n">
        <x:v>17.8857000925883</x:v>
      </x:c>
      <x:c r="F48" s="19" t="n">
        <x:v>16.78217756710085</x:v>
      </x:c>
    </x:row>
    <x:row r="49" ht="22" customHeight="1">
      <x:c r="A49" s="15" t="str">
        <x:v>Япония</x:v>
      </x:c>
      <x:c r="B49" s="20" t="d">
        <x:v>2021-07-01T00:00:00.000Z</x:v>
      </x:c>
      <x:c r="C49" s="19" t="n">
        <x:v>18.61792721733393</x:v>
      </x:c>
      <x:c r="D49" s="19" t="n">
        <x:v>17.854143197954052</x:v>
      </x:c>
      <x:c r="E49" s="19" t="n">
        <x:v>20.42063831326443</x:v>
      </x:c>
      <x:c r="F49" s="19" t="n">
        <x:v>19.53466664408483</x:v>
      </x:c>
    </x:row>
    <x:row r="50" ht="22" customHeight="1">
      <x:c r="A50" s="15" t="str">
        <x:v>Япония</x:v>
      </x:c>
      <x:c r="B50" s="20" t="d">
        <x:v>2021-08-01T00:00:00.000Z</x:v>
      </x:c>
      <x:c r="C50" s="19" t="n">
        <x:v>7.9288752419601805</x:v>
      </x:c>
      <x:c r="D50" s="19" t="n">
        <x:v>6.9979699143689595</x:v>
      </x:c>
      <x:c r="E50" s="19" t="n">
        <x:v>7.588683165195411</x:v>
      </x:c>
      <x:c r="F50" s="19" t="n">
        <x:v>6.366701287929851</x:v>
      </x:c>
    </x:row>
    <x:row r="51" ht="22" customHeight="1">
      <x:c r="A51" s="15" t="str">
        <x:v>Япония</x:v>
      </x:c>
      <x:c r="B51" s="20" t="d">
        <x:v>2021-09-01T00:00:00.000Z</x:v>
      </x:c>
      <x:c r="C51" s="19" t="n">
        <x:v>14.16402754101076</x:v>
      </x:c>
      <x:c r="D51" s="19" t="n">
        <x:v>14.146105768225231</x:v>
      </x:c>
      <x:c r="E51" s="19" t="n">
        <x:v>10.58820325722582</x:v>
      </x:c>
      <x:c r="F51" s="19" t="n">
        <x:v>9.94584778362787</x:v>
      </x:c>
    </x:row>
    <x:row r="52" ht="22" customHeight="1">
      <x:c r="A52" s="15" t="str">
        <x:v>Япония</x:v>
      </x:c>
      <x:c r="B52" s="20" t="d">
        <x:v>2021-10-01T00:00:00.000Z</x:v>
      </x:c>
      <x:c r="C52" s="19" t="n">
        <x:v>13.12992336489652</x:v>
      </x:c>
      <x:c r="D52" s="19" t="n">
        <x:v>14.20244624412419</x:v>
      </x:c>
      <x:c r="E52" s="19" t="n">
        <x:v>9.832166980695039</x:v>
      </x:c>
      <x:c r="F52" s="19" t="n">
        <x:v>10.28389204745655</x:v>
      </x:c>
    </x:row>
    <x:row r="53" ht="22" customHeight="1">
      <x:c r="A53" s="15" t="str">
        <x:v>Япония</x:v>
      </x:c>
      <x:c r="B53" s="20" t="d">
        <x:v>2021-11-01T00:00:00.000Z</x:v>
      </x:c>
      <x:c r="C53" s="19" t="n">
        <x:v>17.20724454423678</x:v>
      </x:c>
      <x:c r="D53" s="19" t="n">
        <x:v>18.03827597404459</x:v>
      </x:c>
      <x:c r="E53" s="19" t="n">
        <x:v>14.67487436180237</x:v>
      </x:c>
      <x:c r="F53" s="19" t="n">
        <x:v>15.06982186466455</x:v>
      </x:c>
    </x:row>
    <x:row r="54" ht="22" customHeight="1">
      <x:c r="A54" s="15" t="str">
        <x:v>Япония</x:v>
      </x:c>
      <x:c r="B54" s="20" t="d">
        <x:v>2021-12-01T00:00:00.000Z</x:v>
      </x:c>
      <x:c r="C54" s="19" t="n">
        <x:v>19.71761990349776</x:v>
      </x:c>
      <x:c r="D54" s="19" t="n">
        <x:v>21.042621724652243</x:v>
      </x:c>
      <x:c r="E54" s="19" t="n">
        <x:v>19.402684825534642</x:v>
      </x:c>
      <x:c r="F54" s="19" t="n">
        <x:v>20.417652198104392</x:v>
      </x:c>
    </x:row>
    <x:row r="55" ht="22" customHeight="1">
      <x:c r="A55" s="15" t="str">
        <x:v>Япония</x:v>
      </x:c>
      <x:c r="B55" s="20" t="d">
        <x:v>2022-01-01T00:00:00.000Z</x:v>
      </x:c>
      <x:c r="C55" s="19" t="n">
        <x:v>1.6315367238572898</x:v>
      </x:c>
      <x:c r="D55" s="19" t="n">
        <x:v>1.18293581459312</x:v>
      </x:c>
      <x:c r="E55" s="19" t="n">
        <x:v>2.5701308468141</x:v>
      </x:c>
      <x:c r="F55" s="19" t="n">
        <x:v>2.17094334067512</x:v>
      </x:c>
    </x:row>
    <x:row r="56" ht="22" customHeight="1">
      <x:c r="A56" s="15" t="str">
        <x:v>Япония</x:v>
      </x:c>
      <x:c r="B56" s="20" t="d">
        <x:v>2022-02-01T00:00:00.000Z</x:v>
      </x:c>
      <x:c r="C56" s="19" t="n">
        <x:v>10.93230006987045</x:v>
      </x:c>
      <x:c r="D56" s="19" t="n">
        <x:v>10.38773508817756</x:v>
      </x:c>
      <x:c r="E56" s="19" t="n">
        <x:v>11.91847543544386</x:v>
      </x:c>
      <x:c r="F56" s="19" t="n">
        <x:v>11.30728844653818</x:v>
      </x:c>
    </x:row>
    <x:row r="57" ht="22" customHeight="1">
      <x:c r="A57" s="15" t="str">
        <x:v>Япония</x:v>
      </x:c>
      <x:c r="B57" s="20" t="d">
        <x:v>2022-03-01T00:00:00.000Z</x:v>
      </x:c>
      <x:c r="C57" s="19" t="n">
        <x:v>6.11198407555243</x:v>
      </x:c>
      <x:c r="D57" s="19" t="n">
        <x:v>5.827428578963801</x:v>
      </x:c>
      <x:c r="E57" s="19" t="n">
        <x:v>9.7896308414305</x:v>
      </x:c>
      <x:c r="F57" s="19" t="n">
        <x:v>9.76238409787425</x:v>
      </x:c>
    </x:row>
    <x:row r="58" ht="22" customHeight="1">
      <x:c r="A58" s="15" t="str">
        <x:v>Япония</x:v>
      </x:c>
      <x:c r="B58" s="20" t="d">
        <x:v>2022-04-01T00:00:00.000Z</x:v>
      </x:c>
      <x:c r="C58" s="19" t="n">
        <x:v>-9.2469470479062</x:v>
      </x:c>
      <x:c r="D58" s="19" t="n">
        <x:v>-10.09087839918764</x:v>
      </x:c>
      <x:c r="E58" s="19" t="n">
        <x:v>-6.64022703162164</x:v>
      </x:c>
      <x:c r="F58" s="19" t="n">
        <x:v>-7.3499542452185</x:v>
      </x:c>
    </x:row>
    <x:row r="59" ht="22" customHeight="1">
      <x:c r="A59" s="15" t="str">
        <x:v>Япония</x:v>
      </x:c>
      <x:c r="B59" s="20" t="d">
        <x:v>2022-05-01T00:00:00.000Z</x:v>
      </x:c>
      <x:c r="C59" s="19" t="n">
        <x:v>6.52579363647696</x:v>
      </x:c>
      <x:c r="D59" s="19" t="n">
        <x:v>6.32977265725431</x:v>
      </x:c>
      <x:c r="E59" s="19" t="n">
        <x:v>10.12665919753687</x:v>
      </x:c>
      <x:c r="F59" s="19" t="n">
        <x:v>10.2186010855612</x:v>
      </x:c>
    </x:row>
    <x:row r="60" ht="22" customHeight="1">
      <x:c r="A60" s="15" t="str">
        <x:v>Япония</x:v>
      </x:c>
      <x:c r="B60" s="20" t="d">
        <x:v>2022-06-01T00:00:00.000Z</x:v>
      </x:c>
      <x:c r="C60" s="19" t="n">
        <x:v>13.90145305823739</x:v>
      </x:c>
      <x:c r="D60" s="19" t="n">
        <x:v>14.123919809591401</x:v>
      </x:c>
      <x:c r="E60" s="19" t="n">
        <x:v>16.60458886052739</x:v>
      </x:c>
      <x:c r="F60" s="19" t="n">
        <x:v>16.942984573192497</x:v>
      </x:c>
    </x:row>
    <x:row r="61" ht="22" customHeight="1">
      <x:c r="A61" s="15" t="str">
        <x:v>Япония</x:v>
      </x:c>
      <x:c r="B61" s="20" t="d">
        <x:v>2022-07-01T00:00:00.000Z</x:v>
      </x:c>
      <x:c r="C61" s="19" t="n">
        <x:v>1.9133177778598802</x:v>
      </x:c>
      <x:c r="D61" s="19" t="n">
        <x:v>1.6959327514261002</x:v>
      </x:c>
      <x:c r="E61" s="19" t="n">
        <x:v>2.87890782256433</x:v>
      </x:c>
      <x:c r="F61" s="19" t="n">
        <x:v>2.56073482094731</x:v>
      </x:c>
    </x:row>
    <x:row r="62" ht="22" customHeight="1">
      <x:c r="A62" s="15" t="str">
        <x:v>Япония</x:v>
      </x:c>
      <x:c r="B62" s="20" t="d">
        <x:v>2022-08-01T00:00:00.000Z</x:v>
      </x:c>
      <x:c r="C62" s="19" t="n">
        <x:v>-13.039237259380709</x:v>
      </x:c>
      <x:c r="D62" s="19" t="n">
        <x:v>-14.40079878927573</x:v>
      </x:c>
      <x:c r="E62" s="19" t="n">
        <x:v>-6.56566404406336</x:v>
      </x:c>
      <x:c r="F62" s="19" t="n">
        <x:v>-7.503370928078409</x:v>
      </x:c>
    </x:row>
    <x:row r="63" ht="22" customHeight="1">
      <x:c r="A63" s="15" t="str">
        <x:v>Япония</x:v>
      </x:c>
      <x:c r="B63" s="20" t="d">
        <x:v>2022-09-01T00:00:00.000Z</x:v>
      </x:c>
      <x:c r="C63" s="19" t="n">
        <x:v>-3.21852517698698</x:v>
      </x:c>
      <x:c r="D63" s="19" t="n">
        <x:v>-3.76244596070181</x:v>
      </x:c>
      <x:c r="E63" s="19" t="n">
        <x:v>0.31585234836206</x:v>
      </x:c>
      <x:c r="F63" s="19" t="n">
        <x:v>0.005165396022520363</x:v>
      </x:c>
    </x:row>
    <x:row r="64" ht="22" customHeight="1">
      <x:c r="A64" s="15" t="str">
        <x:v>Япония</x:v>
      </x:c>
      <x:c r="B64" s="20" t="d">
        <x:v>2022-10-01T00:00:00.000Z</x:v>
      </x:c>
      <x:c r="C64" s="19" t="n">
        <x:v>-4.41824476320793</x:v>
      </x:c>
      <x:c r="D64" s="19" t="n">
        <x:v>-4.8083335939418905</x:v>
      </x:c>
      <x:c r="E64" s="19" t="n">
        <x:v>-0.8084547592004699</x:v>
      </x:c>
      <x:c r="F64" s="19" t="n">
        <x:v>-1.1508658197585901</x:v>
      </x:c>
    </x:row>
    <x:row r="65" ht="22" customHeight="1">
      <x:c r="A65" s="15" t="str">
        <x:v>Япония</x:v>
      </x:c>
      <x:c r="B65" s="20" t="d">
        <x:v>2022-11-01T00:00:00.000Z</x:v>
      </x:c>
      <x:c r="C65" s="19" t="n">
        <x:v>-8.37380358056597</x:v>
      </x:c>
      <x:c r="D65" s="19" t="n">
        <x:v>-9.23353945006953</x:v>
      </x:c>
      <x:c r="E65" s="19" t="n">
        <x:v>-4.981787530042929</x:v>
      </x:c>
      <x:c r="F65" s="19" t="n">
        <x:v>-5.80154372726742</x:v>
      </x:c>
    </x:row>
    <x:row r="66" ht="22" customHeight="1">
      <x:c r="A66" s="15" t="str">
        <x:v>Япония</x:v>
      </x:c>
      <x:c r="B66" s="20" t="d">
        <x:v>2022-12-01T00:00:00.000Z</x:v>
      </x:c>
      <x:c r="C66" s="19" t="n">
        <x:v>-16.1113997891363</x:v>
      </x:c>
      <x:c r="D66" s="19" t="n">
        <x:v>-17.46079819923782</x:v>
      </x:c>
      <x:c r="E66" s="19" t="n">
        <x:v>-13.79678162157708</x:v>
      </x:c>
      <x:c r="F66" s="19" t="n">
        <x:v>-15.2628823979585</x:v>
      </x:c>
    </x:row>
    <x:row r="67" ht="22" customHeight="1">
      <x:c r="A67" s="15" t="str">
        <x:v>Япония</x:v>
      </x:c>
      <x:c r="B67" s="20" t="d">
        <x:v>2023-01-01T00:00:00.000Z</x:v>
      </x:c>
      <x:c r="C67" s="19" t="n">
        <x:v>-14.19763135268814</x:v>
      </x:c>
      <x:c r="D67" s="19" t="n">
        <x:v>-14.176233026307262</x:v>
      </x:c>
      <x:c r="E67" s="19" t="n">
        <x:v>-8.31434589268256</x:v>
      </x:c>
      <x:c r="F67" s="19" t="n">
        <x:v>-8.29797051047545</x:v>
      </x:c>
    </x:row>
    <x:row r="68" ht="22" customHeight="1">
      <x:c r="A68" s="15" t="str">
        <x:v>Япония</x:v>
      </x:c>
      <x:c r="B68" s="20" t="d">
        <x:v>2023-02-01T00:00:00.000Z</x:v>
      </x:c>
      <x:c r="C68" s="19" t="n">
        <x:v>-15.016020631853921</x:v>
      </x:c>
      <x:c r="D68" s="19" t="n">
        <x:v>-15.13977749675863</x:v>
      </x:c>
      <x:c r="E68" s="19" t="n">
        <x:v>-9.70293190969792</x:v>
      </x:c>
      <x:c r="F68" s="19" t="n">
        <x:v>-9.573643946115599</x:v>
      </x:c>
    </x:row>
    <x:row r="69" ht="22" customHeight="1">
      <x:c r="A69" s="15" t="str">
        <x:v>Япония</x:v>
      </x:c>
      <x:c r="B69" s="20" t="d">
        <x:v>2023-03-01T00:00:00.000Z</x:v>
      </x:c>
      <x:c r="C69" s="19" t="n">
        <x:v>-5.94770902321252</x:v>
      </x:c>
      <x:c r="D69" s="19" t="n">
        <x:v>-5.89760892074483</x:v>
      </x:c>
      <x:c r="E69" s="19" t="n">
        <x:v>-4.26673119978654</x:v>
      </x:c>
      <x:c r="F69" s="19" t="n">
        <x:v>-4.2724650800166</x:v>
      </x:c>
    </x:row>
    <x:row r="70" ht="22" customHeight="1">
      <x:c r="A70" s="15" t="str">
        <x:v>Япония</x:v>
      </x:c>
      <x:c r="B70" s="20" t="d">
        <x:v>2023-04-01T00:00:00.000Z</x:v>
      </x:c>
      <x:c r="C70" s="19" t="n">
        <x:v>-1.7665777269187302</x:v>
      </x:c>
      <x:c r="D70" s="19" t="n">
        <x:v>-1.8689699703069398</x:v>
      </x:c>
      <x:c r="E70" s="19" t="n">
        <x:v>-4.09638109130131</x:v>
      </x:c>
      <x:c r="F70" s="19" t="n">
        <x:v>-4.59876761027364</x:v>
      </x:c>
    </x:row>
    <x:row r="71" ht="22" customHeight="1">
      <x:c r="A71" s="15" t="str">
        <x:v>Япония</x:v>
      </x:c>
      <x:c r="B71" s="20" t="d">
        <x:v>2023-05-01T00:00:00.000Z</x:v>
      </x:c>
      <x:c r="C71" s="19" t="n">
        <x:v>-14.23390741113045</x:v>
      </x:c>
      <x:c r="D71" s="19" t="n">
        <x:v>-13.91652523954442</x:v>
      </x:c>
      <x:c r="E71" s="19" t="n">
        <x:v>-17.09132328470456</x:v>
      </x:c>
      <x:c r="F71" s="19" t="n">
        <x:v>-17.41165747229445</x:v>
      </x:c>
    </x:row>
    <x:row r="72" ht="22" customHeight="1">
      <x:c r="A72" s="15" t="str">
        <x:v>Япония</x:v>
      </x:c>
      <x:c r="B72" s="20" t="d">
        <x:v>2023-06-01T00:00:00.000Z</x:v>
      </x:c>
      <x:c r="C72" s="19" t="n">
        <x:v>-10.31926748360069</x:v>
      </x:c>
      <x:c r="D72" s="19" t="n">
        <x:v>-10.38520504950296</x:v>
      </x:c>
      <x:c r="E72" s="19" t="n">
        <x:v>-9.1142160037138</x:v>
      </x:c>
      <x:c r="F72" s="19" t="n">
        <x:v>-9.6160007922622</x:v>
      </x:c>
    </x:row>
    <x:row r="73" ht="22" customHeight="1">
      <x:c r="A73" s="15" t="str">
        <x:v>Япония</x:v>
      </x:c>
      <x:c r="B73" s="20" t="d">
        <x:v>2023-07-01T00:00:00.000Z</x:v>
      </x:c>
      <x:c r="C73" s="19" t="n">
        <x:v>-16.342117897856888</x:v>
      </x:c>
      <x:c r="D73" s="19" t="n">
        <x:v>-16.96912977937784</x:v>
      </x:c>
      <x:c r="E73" s="19" t="n">
        <x:v>-16.05143629172085</x:v>
      </x:c>
      <x:c r="F73" s="19" t="n">
        <x:v>-17.01510884376776</x:v>
      </x:c>
    </x:row>
    <x:row r="74" ht="22" customHeight="1">
      <x:c r="A74" s="15" t="str">
        <x:v>Япония</x:v>
      </x:c>
      <x:c r="B74" s="20" t="d">
        <x:v>2023-08-01T00:00:00.000Z</x:v>
      </x:c>
      <x:c r="C74" s="19" t="n">
        <x:v>2.85070708377773</x:v>
      </x:c>
      <x:c r="D74" s="19" t="n">
        <x:v>3.61908896227931</x:v>
      </x:c>
      <x:c r="E74" s="19" t="n">
        <x:v>5.351321685963669</x:v>
      </x:c>
      <x:c r="F74" s="19" t="n">
        <x:v>5.84478105860156</x:v>
      </x:c>
    </x:row>
    <x:row r="75" ht="22" customHeight="1">
      <x:c r="A75" s="15" t="str">
        <x:v>Япония</x:v>
      </x:c>
      <x:c r="B75" s="20" t="d">
        <x:v>2023-09-01T00:00:00.000Z</x:v>
      </x:c>
      <x:c r="C75" s="19" t="n">
        <x:v>-16.782639989404018</x:v>
      </x:c>
      <x:c r="D75" s="19" t="n">
        <x:v>-18.25105839165663</x:v>
      </x:c>
      <x:c r="E75" s="19" t="n">
        <x:v>-11.094737906097201</x:v>
      </x:c>
      <x:c r="F75" s="19" t="n">
        <x:v>-12.35969144862313</x:v>
      </x:c>
    </x:row>
    <x:row r="76" ht="22" customHeight="1">
      <x:c r="A76" s="15" t="str">
        <x:v>Япония</x:v>
      </x:c>
      <x:c r="B76" s="20" t="d">
        <x:v>2023-10-01T00:00:00.000Z</x:v>
      </x:c>
      <x:c r="C76" s="19" t="n">
        <x:v>-7.1506181988678</x:v>
      </x:c>
      <x:c r="D76" s="19" t="n">
        <x:v>-7.2340841467008605</x:v>
      </x:c>
      <x:c r="E76" s="19" t="n">
        <x:v>0.24654401382072003</x:v>
      </x:c>
      <x:c r="F76" s="19" t="n">
        <x:v>0.58601343210043</x:v>
      </x:c>
    </x:row>
    <x:row r="77" ht="22" customHeight="1">
      <x:c r="A77" s="15" t="str">
        <x:v>Япония</x:v>
      </x:c>
      <x:c r="B77" s="20" t="d">
        <x:v>2023-11-01T00:00:00.000Z</x:v>
      </x:c>
      <x:c r="C77" s="19" t="n">
        <x:v>-1.44888301918438</x:v>
      </x:c>
      <x:c r="D77" s="19" t="n">
        <x:v>-0.71377712102378</x:v>
      </x:c>
      <x:c r="E77" s="19" t="n">
        <x:v>4.89486254518096</x:v>
      </x:c>
      <x:c r="F77" s="19" t="n">
        <x:v>5.83215025513772</x:v>
      </x:c>
    </x:row>
    <x:row r="78" ht="22" customHeight="1">
      <x:c r="A78" s="15" t="str">
        <x:v>Япония</x:v>
      </x:c>
      <x:c r="B78" s="20" t="d">
        <x:v>2023-12-01T00:00:00.000Z</x:v>
      </x:c>
      <x:c r="C78" s="19" t="n">
        <x:v>-4.33338761151618</x:v>
      </x:c>
      <x:c r="D78" s="19" t="n">
        <x:v>-4.1460630618062</x:v>
      </x:c>
      <x:c r="E78" s="19" t="n">
        <x:v>1.5568569826666399</x:v>
      </x:c>
      <x:c r="F78" s="19" t="n">
        <x:v>2.07988667358661</x:v>
      </x:c>
    </x:row>
    <x:row r="79" ht="22" customHeight="1">
      <x:c r="A79" s="15" t="str">
        <x:v>Япония</x:v>
      </x:c>
      <x:c r="B79" s="20" t="d">
        <x:v>2024-01-01T00:00:00.000Z</x:v>
      </x:c>
      <x:c r="C79" s="19" t="n">
        <x:v>2.52258792022871</x:v>
      </x:c>
      <x:c r="D79" s="19" t="n">
        <x:v>2.63039049445504</x:v>
      </x:c>
      <x:c r="E79" s="19" t="n">
        <x:v>6.1339580640388105</x:v>
      </x:c>
      <x:c r="F79" s="19" t="n">
        <x:v>6.62721750449707</x:v>
      </x:c>
    </x:row>
    <x:row r="80" ht="22" customHeight="1">
      <x:c r="A80" s="15" t="str">
        <x:v>Япония</x:v>
      </x:c>
      <x:c r="B80" s="20" t="d">
        <x:v>2024-02-01T00:00:00.000Z</x:v>
      </x:c>
      <x:c r="C80" s="19" t="n">
        <x:v>0.9412079925823</x:v>
      </x:c>
      <x:c r="D80" s="19" t="n">
        <x:v>1.10027546603522</x:v>
      </x:c>
      <x:c r="E80" s="19" t="n">
        <x:v>2.0113350404384898</x:v>
      </x:c>
      <x:c r="F80" s="19" t="n">
        <x:v>2.12968135185847</x:v>
      </x:c>
    </x:row>
    <x:row r="81" ht="22" customHeight="1">
      <x:c r="A81" s="15" t="str">
        <x:v>Япония</x:v>
      </x:c>
      <x:c r="B81" s="20" t="d">
        <x:v>2024-03-01T00:00:00.000Z</x:v>
      </x:c>
      <x:c r="C81" s="19" t="n">
        <x:v>1.0175130459275599</x:v>
      </x:c>
      <x:c r="D81" s="19" t="n">
        <x:v>1.25504526713513</x:v>
      </x:c>
      <x:c r="E81" s="19" t="n">
        <x:v>5.5687208152106304</x:v>
      </x:c>
      <x:c r="F81" s="19" t="n">
        <x:v>6.05323217854093</x:v>
      </x:c>
    </x:row>
    <x:row r="82" ht="22" customHeight="1">
      <x:c r="A82" s="15" t="str">
        <x:v>Япония</x:v>
      </x:c>
      <x:c r="B82" s="20" t="d">
        <x:v>2024-04-01T00:00:00.000Z</x:v>
      </x:c>
      <x:c r="C82" s="19" t="n">
        <x:v>6.538754454524059</x:v>
      </x:c>
      <x:c r="D82" s="19" t="n">
        <x:v>8.09398700074682</x:v>
      </x:c>
      <x:c r="E82" s="19" t="n">
        <x:v>13.046893184171271</x:v>
      </x:c>
      <x:c r="F82" s="19" t="n">
        <x:v>14.60836829292775</x:v>
      </x:c>
    </x:row>
    <x:row r="83" ht="22" customHeight="1">
      <x:c r="A83" s="15" t="str">
        <x:v>Япония</x:v>
      </x:c>
      <x:c r="B83" s="20" t="d">
        <x:v>2024-05-01T00:00:00.000Z</x:v>
      </x:c>
      <x:c r="C83" s="19" t="n">
        <x:v>10.38137678998978</x:v>
      </x:c>
      <x:c r="D83" s="19" t="n">
        <x:v>11.020597610477301</x:v>
      </x:c>
      <x:c r="E83" s="19" t="n">
        <x:v>18.65683565635719</x:v>
      </x:c>
      <x:c r="F83" s="19" t="n">
        <x:v>19.590547006719262</x:v>
      </x:c>
    </x:row>
    <x:row r="84" ht="22" customHeight="1">
      <x:c r="A84" s="15" t="str">
        <x:v>Япония</x:v>
      </x:c>
      <x:c r="B84" s="20" t="d">
        <x:v>2024-06-01T00:00:00.000Z</x:v>
      </x:c>
      <x:c r="C84" s="19" t="n">
        <x:v>-5.829358996270139</x:v>
      </x:c>
      <x:c r="D84" s="19" t="n">
        <x:v>-5.8562216862437</x:v>
      </x:c>
      <x:c r="E84" s="19" t="n">
        <x:v>-1.7574675496162502</x:v>
      </x:c>
      <x:c r="F84" s="19" t="n">
        <x:v>-1.57009430646273</x:v>
      </x:c>
    </x:row>
    <x:row r="85" ht="22" customHeight="1">
      <x:c r="A85" s="15" t="str">
        <x:v>Япония</x:v>
      </x:c>
      <x:c r="B85" s="20" t="d">
        <x:v>2024-07-01T00:00:00.000Z</x:v>
      </x:c>
      <x:c r="C85" s="19" t="n">
        <x:v>11.801918151470819</x:v>
      </x:c>
      <x:c r="D85" s="19" t="n">
        <x:v>13.850688128826269</x:v>
      </x:c>
      <x:c r="E85" s="19" t="n">
        <x:v>18.09043348361471</x:v>
      </x:c>
      <x:c r="F85" s="19" t="n">
        <x:v>20.40778904849389</x:v>
      </x:c>
    </x:row>
    <x:row r="86" ht="22" customHeight="1">
      <x:c r="A86" s="15" t="str">
        <x:v>Япония</x:v>
      </x:c>
      <x:c r="B86" s="20" t="d">
        <x:v>2024-08-01T00:00:00.000Z</x:v>
      </x:c>
      <x:c r="C86" s="19" t="n">
        <x:v>17.188926104093742</x:v>
      </x:c>
      <x:c r="D86" s="19" t="n">
        <x:v>19.8084706492796</x:v>
      </x:c>
      <x:c r="E86" s="19" t="n">
        <x:v>17.43260017695528</x:v>
      </x:c>
      <x:c r="F86" s="19" t="n">
        <x:v>20.130188248187388</x:v>
      </x:c>
    </x:row>
    <x:row r="87" ht="22" customHeight="1">
      <x:c r="A87" s="15" t="str">
        <x:v>Япония</x:v>
      </x:c>
      <x:c r="B87" s="20" t="d">
        <x:v>2024-09-01T00:00:00.000Z</x:v>
      </x:c>
      <x:c r="C87" s="19" t="n">
        <x:v>19.38810896965462</x:v>
      </x:c>
      <x:c r="D87" s="19" t="n">
        <x:v>22.22363062533443</x:v>
      </x:c>
      <x:c r="E87" s="19" t="n">
        <x:v>19.11850996762865</x:v>
      </x:c>
      <x:c r="F87" s="19" t="n">
        <x:v>21.67724206500497</x:v>
      </x:c>
    </x:row>
    <x:row r="88" ht="22" customHeight="1">
      <x:c r="A88" s="15" t="str">
        <x:v>Япония</x:v>
      </x:c>
      <x:c r="B88" s="20" t="d">
        <x:v>2024-10-01T00:00:00.000Z</x:v>
      </x:c>
      <x:c r="C88" s="19" t="n">
        <x:v>7.1516505470865</x:v>
      </x:c>
      <x:c r="D88" s="19" t="n">
        <x:v>9.33033484699182</x:v>
      </x:c>
      <x:c r="E88" s="19" t="n">
        <x:v>4.4056241915774095</x:v>
      </x:c>
      <x:c r="F88" s="19" t="n">
        <x:v>6.14568533308722</x:v>
      </x:c>
    </x:row>
    <x:row r="89" ht="22" customHeight="1">
      <x:c r="A89" s="15" t="str">
        <x:v>Япония</x:v>
      </x:c>
      <x:c r="B89" s="20" t="d">
        <x:v>2024-11-01T00:00:00.000Z</x:v>
      </x:c>
      <x:c r="C89" s="19" t="n">
        <x:v>-0.52974570955717</x:v>
      </x:c>
      <x:c r="D89" s="19" t="n">
        <x:v>0.25617006447099</x:v>
      </x:c>
      <x:c r="E89" s="19" t="n">
        <x:v>-5.899168481436471</x:v>
      </x:c>
      <x:c r="F89" s="19" t="n">
        <x:v>-5.68716445748307</x:v>
      </x:c>
    </x:row>
    <x:row r="90" ht="22" customHeight="1">
      <x:c r="A90" s="15" t="str">
        <x:v>Япония</x:v>
      </x:c>
      <x:c r="B90" s="20" t="d">
        <x:v>2024-12-01T00:00:00.000Z</x:v>
      </x:c>
      <x:c r="C90" s="19" t="n">
        <x:v>2.44834547247357</x:v>
      </x:c>
      <x:c r="D90" s="19" t="n">
        <x:v>4.4863166107122</x:v>
      </x:c>
      <x:c r="E90" s="19" t="n">
        <x:v>-1.3154037986699</x:v>
      </x:c>
      <x:c r="F90" s="19" t="n">
        <x:v>0.18661799595792</x:v>
      </x:c>
    </x:row>
    <x:row r="91" ht="22" customHeight="1">
      <x:c r="A91" s="15" t="str">
        <x:v>Республика Корея</x:v>
      </x:c>
      <x:c r="B91" s="20" t="d">
        <x:v>2018-01-01T00:00:00.000Z</x:v>
      </x:c>
      <x:c r="C91" s="19" t="n">
        <x:v>42.01244647108166</x:v>
      </x:c>
      <x:c r="D91" s="19" t="n">
        <x:v>38.40167172021974</x:v>
      </x:c>
      <x:c r="E91" s="19" t="n">
        <x:v>42.18721432346081</x:v>
      </x:c>
      <x:c r="F91" s="19" t="n">
        <x:v>39.6812879325115</x:v>
      </x:c>
    </x:row>
    <x:row r="92" ht="22" customHeight="1">
      <x:c r="A92" s="15" t="str">
        <x:v>Республика Корея</x:v>
      </x:c>
      <x:c r="B92" s="20" t="d">
        <x:v>2018-02-01T00:00:00.000Z</x:v>
      </x:c>
      <x:c r="C92" s="19" t="n">
        <x:v>32.96343856200558</x:v>
      </x:c>
      <x:c r="D92" s="19" t="n">
        <x:v>29.07255994780741</x:v>
      </x:c>
      <x:c r="E92" s="19" t="n">
        <x:v>33.15527059166515</x:v>
      </x:c>
      <x:c r="F92" s="19" t="n">
        <x:v>30.206735817753525</x:v>
      </x:c>
    </x:row>
    <x:row r="93" ht="22" customHeight="1">
      <x:c r="A93" s="15" t="str">
        <x:v>Республика Корея</x:v>
      </x:c>
      <x:c r="B93" s="20" t="d">
        <x:v>2018-03-01T00:00:00.000Z</x:v>
      </x:c>
      <x:c r="C93" s="19" t="n">
        <x:v>35.97774025599854</x:v>
      </x:c>
      <x:c r="D93" s="19" t="n">
        <x:v>31.23082355446445</x:v>
      </x:c>
      <x:c r="E93" s="19" t="n">
        <x:v>32.777122376986824</x:v>
      </x:c>
      <x:c r="F93" s="19" t="n">
        <x:v>29.926885640126272</x:v>
      </x:c>
    </x:row>
    <x:row r="94" ht="22" customHeight="1">
      <x:c r="A94" s="15" t="str">
        <x:v>Республика Корея</x:v>
      </x:c>
      <x:c r="B94" s="20" t="d">
        <x:v>2018-04-01T00:00:00.000Z</x:v>
      </x:c>
      <x:c r="C94" s="19" t="n">
        <x:v>29.88492243518789</x:v>
      </x:c>
      <x:c r="D94" s="19" t="n">
        <x:v>27.490987983484228</x:v>
      </x:c>
      <x:c r="E94" s="19" t="n">
        <x:v>21.88540052786179</x:v>
      </x:c>
      <x:c r="F94" s="19" t="n">
        <x:v>19.84115364850369</x:v>
      </x:c>
    </x:row>
    <x:row r="95" ht="22" customHeight="1">
      <x:c r="A95" s="15" t="str">
        <x:v>Республика Корея</x:v>
      </x:c>
      <x:c r="B95" s="20" t="d">
        <x:v>2018-05-01T00:00:00.000Z</x:v>
      </x:c>
      <x:c r="C95" s="19" t="n">
        <x:v>33.46236240833172</x:v>
      </x:c>
      <x:c r="D95" s="19" t="n">
        <x:v>28.270069415912452</x:v>
      </x:c>
      <x:c r="E95" s="19" t="n">
        <x:v>34.16198512857171</x:v>
      </x:c>
      <x:c r="F95" s="19" t="n">
        <x:v>29.622814201219327</x:v>
      </x:c>
    </x:row>
    <x:row r="96" ht="22" customHeight="1">
      <x:c r="A96" s="15" t="str">
        <x:v>Республика Корея</x:v>
      </x:c>
      <x:c r="B96" s="20" t="d">
        <x:v>2018-06-01T00:00:00.000Z</x:v>
      </x:c>
      <x:c r="C96" s="19" t="n">
        <x:v>29.05445421699298</x:v>
      </x:c>
      <x:c r="D96" s="19" t="n">
        <x:v>25.187455488816617</x:v>
      </x:c>
      <x:c r="E96" s="19" t="n">
        <x:v>28.754253994411922</x:v>
      </x:c>
      <x:c r="F96" s="19" t="n">
        <x:v>26.19343443241612</x:v>
      </x:c>
    </x:row>
    <x:row r="97" ht="22" customHeight="1">
      <x:c r="A97" s="15" t="str">
        <x:v>Республика Корея</x:v>
      </x:c>
      <x:c r="B97" s="20" t="d">
        <x:v>2018-07-01T00:00:00.000Z</x:v>
      </x:c>
      <x:c r="C97" s="19" t="n">
        <x:v>25.73619329054302</x:v>
      </x:c>
      <x:c r="D97" s="19" t="n">
        <x:v>22.68592623097194</x:v>
      </x:c>
      <x:c r="E97" s="19" t="n">
        <x:v>22.18048615482044</x:v>
      </x:c>
      <x:c r="F97" s="19" t="n">
        <x:v>19.032776407614723</x:v>
      </x:c>
    </x:row>
    <x:row r="98" ht="22" customHeight="1">
      <x:c r="A98" s="15" t="str">
        <x:v>Республика Корея</x:v>
      </x:c>
      <x:c r="B98" s="20" t="d">
        <x:v>2018-08-01T00:00:00.000Z</x:v>
      </x:c>
      <x:c r="C98" s="19" t="n">
        <x:v>25.90672197203246</x:v>
      </x:c>
      <x:c r="D98" s="19" t="n">
        <x:v>22.86253763540164</x:v>
      </x:c>
      <x:c r="E98" s="19" t="n">
        <x:v>32.705105196527</x:v>
      </x:c>
      <x:c r="F98" s="19" t="n">
        <x:v>29.668453549056217</x:v>
      </x:c>
    </x:row>
    <x:row r="99" ht="22" customHeight="1">
      <x:c r="A99" s="15" t="str">
        <x:v>Республика Корея</x:v>
      </x:c>
      <x:c r="B99" s="20" t="d">
        <x:v>2018-09-01T00:00:00.000Z</x:v>
      </x:c>
      <x:c r="C99" s="19" t="n">
        <x:v>22.4104629356047</x:v>
      </x:c>
      <x:c r="D99" s="19" t="n">
        <x:v>17.33648778072929</x:v>
      </x:c>
      <x:c r="E99" s="19" t="n">
        <x:v>29.27251958822974</x:v>
      </x:c>
      <x:c r="F99" s="19" t="n">
        <x:v>23.97693849971105</x:v>
      </x:c>
    </x:row>
    <x:row r="100" ht="22" customHeight="1">
      <x:c r="A100" s="15" t="str">
        <x:v>Республика Корея</x:v>
      </x:c>
      <x:c r="B100" s="20" t="d">
        <x:v>2018-10-01T00:00:00.000Z</x:v>
      </x:c>
      <x:c r="C100" s="19" t="n">
        <x:v>13.446543075314422</x:v>
      </x:c>
      <x:c r="D100" s="19" t="n">
        <x:v>12.0640345046635</x:v>
      </x:c>
      <x:c r="E100" s="19" t="n">
        <x:v>26.31619800677673</x:v>
      </x:c>
      <x:c r="F100" s="19" t="n">
        <x:v>23.23615019927172</x:v>
      </x:c>
    </x:row>
    <x:row r="101" ht="22" customHeight="1">
      <x:c r="A101" s="15" t="str">
        <x:v>Республика Корея</x:v>
      </x:c>
      <x:c r="B101" s="20" t="d">
        <x:v>2018-11-01T00:00:00.000Z</x:v>
      </x:c>
      <x:c r="C101" s="19" t="n">
        <x:v>-1.26007565705827</x:v>
      </x:c>
      <x:c r="D101" s="19" t="n">
        <x:v>-2.4222066197451797</x:v>
      </x:c>
      <x:c r="E101" s="19" t="n">
        <x:v>14.24209396264485</x:v>
      </x:c>
      <x:c r="F101" s="19" t="n">
        <x:v>11.22225947421277</x:v>
      </x:c>
    </x:row>
    <x:row r="102" ht="22" customHeight="1">
      <x:c r="A102" s="15" t="str">
        <x:v>Республика Корея</x:v>
      </x:c>
      <x:c r="B102" s="20" t="d">
        <x:v>2018-12-01T00:00:00.000Z</x:v>
      </x:c>
      <x:c r="C102" s="19" t="n">
        <x:v>-21.839211875320792</x:v>
      </x:c>
      <x:c r="D102" s="19" t="n">
        <x:v>-18.41167850795273</x:v>
      </x:c>
      <x:c r="E102" s="19" t="n">
        <x:v>-9.66550595724175</x:v>
      </x:c>
      <x:c r="F102" s="19" t="n">
        <x:v>-9.05696812645683</x:v>
      </x:c>
    </x:row>
    <x:row r="103" ht="22" customHeight="1">
      <x:c r="A103" s="15" t="str">
        <x:v>Республика Корея</x:v>
      </x:c>
      <x:c r="B103" s="20" t="d">
        <x:v>2019-01-01T00:00:00.000Z</x:v>
      </x:c>
      <x:c r="C103" s="19" t="n">
        <x:v>-35.85328180149019</x:v>
      </x:c>
      <x:c r="D103" s="19" t="n">
        <x:v>-32.53338499957606</x:v>
      </x:c>
      <x:c r="E103" s="19" t="n">
        <x:v>-18.564805894586563</x:v>
      </x:c>
      <x:c r="F103" s="19" t="n">
        <x:v>-16.752926516676713</x:v>
      </x:c>
    </x:row>
    <x:row r="104" ht="22" customHeight="1">
      <x:c r="A104" s="15" t="str">
        <x:v>Республика Корея</x:v>
      </x:c>
      <x:c r="B104" s="20" t="d">
        <x:v>2019-02-01T00:00:00.000Z</x:v>
      </x:c>
      <x:c r="C104" s="19" t="n">
        <x:v>-34.6778289968876</x:v>
      </x:c>
      <x:c r="D104" s="19" t="n">
        <x:v>-30.94196167625664</x:v>
      </x:c>
      <x:c r="E104" s="19" t="n">
        <x:v>-27.579421526697377</x:v>
      </x:c>
      <x:c r="F104" s="19" t="n">
        <x:v>-25.28249384029675</x:v>
      </x:c>
    </x:row>
    <x:row r="105" ht="22" customHeight="1">
      <x:c r="A105" s="15" t="str">
        <x:v>Республика Корея</x:v>
      </x:c>
      <x:c r="B105" s="20" t="d">
        <x:v>2019-03-01T00:00:00.000Z</x:v>
      </x:c>
      <x:c r="C105" s="19" t="n">
        <x:v>-25.47866584224834</x:v>
      </x:c>
      <x:c r="D105" s="19" t="n">
        <x:v>-22.63096949233978</x:v>
      </x:c>
      <x:c r="E105" s="19" t="n">
        <x:v>-28.68541568858521</x:v>
      </x:c>
      <x:c r="F105" s="19" t="n">
        <x:v>-27.5408466470216</x:v>
      </x:c>
    </x:row>
    <x:row r="106" ht="22" customHeight="1">
      <x:c r="A106" s="15" t="str">
        <x:v>Республика Корея</x:v>
      </x:c>
      <x:c r="B106" s="20" t="d">
        <x:v>2019-04-01T00:00:00.000Z</x:v>
      </x:c>
      <x:c r="C106" s="19" t="n">
        <x:v>-20.65303882515849</x:v>
      </x:c>
      <x:c r="D106" s="19" t="n">
        <x:v>-17.531767576118128</x:v>
      </x:c>
      <x:c r="E106" s="19" t="n">
        <x:v>-19.37374769521688</x:v>
      </x:c>
      <x:c r="F106" s="19" t="n">
        <x:v>-17.254181189043848</x:v>
      </x:c>
    </x:row>
    <x:row r="107" ht="22" customHeight="1">
      <x:c r="A107" s="15" t="str">
        <x:v>Республика Корея</x:v>
      </x:c>
      <x:c r="B107" s="20" t="d">
        <x:v>2019-05-01T00:00:00.000Z</x:v>
      </x:c>
      <x:c r="C107" s="19" t="n">
        <x:v>-39.84226188514534</x:v>
      </x:c>
      <x:c r="D107" s="19" t="n">
        <x:v>-35.07115687377036</x:v>
      </x:c>
      <x:c r="E107" s="19" t="n">
        <x:v>-36.03702628524888</x:v>
      </x:c>
      <x:c r="F107" s="19" t="n">
        <x:v>-32.24464870909531</x:v>
      </x:c>
    </x:row>
    <x:row r="108" ht="22" customHeight="1">
      <x:c r="A108" s="15" t="str">
        <x:v>Республика Корея</x:v>
      </x:c>
      <x:c r="B108" s="20" t="d">
        <x:v>2019-06-01T00:00:00.000Z</x:v>
      </x:c>
      <x:c r="C108" s="19" t="n">
        <x:v>-31.155065662004</x:v>
      </x:c>
      <x:c r="D108" s="19" t="n">
        <x:v>-26.44069742541191</x:v>
      </x:c>
      <x:c r="E108" s="19" t="n">
        <x:v>-20.78314230032585</x:v>
      </x:c>
      <x:c r="F108" s="19" t="n">
        <x:v>-18.77344489914897</x:v>
      </x:c>
    </x:row>
    <x:row r="109" ht="22" customHeight="1">
      <x:c r="A109" s="15" t="str">
        <x:v>Республика Корея</x:v>
      </x:c>
      <x:c r="B109" s="20" t="d">
        <x:v>2019-07-01T00:00:00.000Z</x:v>
      </x:c>
      <x:c r="C109" s="19" t="n">
        <x:v>-35.19060742445611</x:v>
      </x:c>
      <x:c r="D109" s="19" t="n">
        <x:v>-29.91016903748733</x:v>
      </x:c>
      <x:c r="E109" s="19" t="n">
        <x:v>-26.61051676733746</x:v>
      </x:c>
      <x:c r="F109" s="19" t="n">
        <x:v>-20.95587185970384</x:v>
      </x:c>
    </x:row>
    <x:row r="110" ht="22" customHeight="1">
      <x:c r="A110" s="15" t="str">
        <x:v>Республика Корея</x:v>
      </x:c>
      <x:c r="B110" s="20" t="d">
        <x:v>2019-08-01T00:00:00.000Z</x:v>
      </x:c>
      <x:c r="C110" s="19" t="n">
        <x:v>-39.36786842566032</x:v>
      </x:c>
      <x:c r="D110" s="19" t="n">
        <x:v>-33.55609479221066</x:v>
      </x:c>
      <x:c r="E110" s="19" t="n">
        <x:v>-40.52226342621879</x:v>
      </x:c>
      <x:c r="F110" s="19" t="n">
        <x:v>-34.12703362438314</x:v>
      </x:c>
    </x:row>
    <x:row r="111" ht="22" customHeight="1">
      <x:c r="A111" s="15" t="str">
        <x:v>Республика Корея</x:v>
      </x:c>
      <x:c r="B111" s="20" t="d">
        <x:v>2019-09-01T00:00:00.000Z</x:v>
      </x:c>
      <x:c r="C111" s="19" t="n">
        <x:v>-40.33674898913375</x:v>
      </x:c>
      <x:c r="D111" s="19" t="n">
        <x:v>-33.24835008305912</x:v>
      </x:c>
      <x:c r="E111" s="19" t="n">
        <x:v>-35.32189736777198</x:v>
      </x:c>
      <x:c r="F111" s="19" t="n">
        <x:v>-28.722961824490213</x:v>
      </x:c>
    </x:row>
    <x:row r="112" ht="22" customHeight="1">
      <x:c r="A112" s="15" t="str">
        <x:v>Республика Корея</x:v>
      </x:c>
      <x:c r="B112" s="20" t="d">
        <x:v>2019-10-01T00:00:00.000Z</x:v>
      </x:c>
      <x:c r="C112" s="19" t="n">
        <x:v>-41.15159419094479</x:v>
      </x:c>
      <x:c r="D112" s="19" t="n">
        <x:v>-33.29643430184381</x:v>
      </x:c>
      <x:c r="E112" s="19" t="n">
        <x:v>-34.61458113349482</x:v>
      </x:c>
      <x:c r="F112" s="19" t="n">
        <x:v>-26.748603416920858</x:v>
      </x:c>
    </x:row>
    <x:row r="113" ht="22" customHeight="1">
      <x:c r="A113" s="15" t="str">
        <x:v>Республика Корея</x:v>
      </x:c>
      <x:c r="B113" s="20" t="d">
        <x:v>2019-11-01T00:00:00.000Z</x:v>
      </x:c>
      <x:c r="C113" s="19" t="n">
        <x:v>-32.70216378708452</x:v>
      </x:c>
      <x:c r="D113" s="19" t="n">
        <x:v>-26.602128497626197</x:v>
      </x:c>
      <x:c r="E113" s="19" t="n">
        <x:v>-37.81673391886544</x:v>
      </x:c>
      <x:c r="F113" s="19" t="n">
        <x:v>-29.76016645299197</x:v>
      </x:c>
    </x:row>
    <x:row r="114" ht="22" customHeight="1">
      <x:c r="A114" s="15" t="str">
        <x:v>Республика Корея</x:v>
      </x:c>
      <x:c r="B114" s="20" t="d">
        <x:v>2019-12-01T00:00:00.000Z</x:v>
      </x:c>
      <x:c r="C114" s="19" t="n">
        <x:v>-14.39244781033274</x:v>
      </x:c>
      <x:c r="D114" s="19" t="n">
        <x:v>-11.47951448909894</x:v>
      </x:c>
      <x:c r="E114" s="19" t="n">
        <x:v>-19.50784323004362</x:v>
      </x:c>
      <x:c r="F114" s="19" t="n">
        <x:v>-14.67405844032438</x:v>
      </x:c>
    </x:row>
    <x:row r="115" ht="22" customHeight="1">
      <x:c r="A115" s="15" t="str">
        <x:v>Республика Корея</x:v>
      </x:c>
      <x:c r="B115" s="20" t="d">
        <x:v>2020-01-01T00:00:00.000Z</x:v>
      </x:c>
      <x:c r="C115" s="19" t="n">
        <x:v>-2.19979290095554</x:v>
      </x:c>
      <x:c r="D115" s="19" t="n">
        <x:v>2.09416401739468</x:v>
      </x:c>
      <x:c r="E115" s="19" t="n">
        <x:v>-14.10605811784523</x:v>
      </x:c>
      <x:c r="F115" s="19" t="n">
        <x:v>-9.04914206843902</x:v>
      </x:c>
    </x:row>
    <x:row r="116" ht="22" customHeight="1">
      <x:c r="A116" s="15" t="str">
        <x:v>Республика Корея</x:v>
      </x:c>
      <x:c r="B116" s="20" t="d">
        <x:v>2020-02-01T00:00:00.000Z</x:v>
      </x:c>
      <x:c r="C116" s="19" t="n">
        <x:v>8.38631802015526</x:v>
      </x:c>
      <x:c r="D116" s="19" t="n">
        <x:v>12.20889083724118</x:v>
      </x:c>
      <x:c r="E116" s="19" t="n">
        <x:v>6.822230141557211</x:v>
      </x:c>
      <x:c r="F116" s="19" t="n">
        <x:v>10.48499922588486</x:v>
      </x:c>
    </x:row>
    <x:row r="117" ht="22" customHeight="1">
      <x:c r="A117" s="15" t="str">
        <x:v>Республика Корея</x:v>
      </x:c>
      <x:c r="B117" s="20" t="d">
        <x:v>2020-03-01T00:00:00.000Z</x:v>
      </x:c>
      <x:c r="C117" s="19" t="n">
        <x:v>-4.13650150301571</x:v>
      </x:c>
      <x:c r="D117" s="19" t="n">
        <x:v>0.75745632844985</x:v>
      </x:c>
      <x:c r="E117" s="19" t="n">
        <x:v>4.4180081302098895</x:v>
      </x:c>
      <x:c r="F117" s="19" t="n">
        <x:v>8.62269687897315</x:v>
      </x:c>
    </x:row>
    <x:row r="118" ht="22" customHeight="1">
      <x:c r="A118" s="15" t="str">
        <x:v>Республика Корея</x:v>
      </x:c>
      <x:c r="B118" s="20" t="d">
        <x:v>2020-04-01T00:00:00.000Z</x:v>
      </x:c>
      <x:c r="C118" s="19" t="n">
        <x:v>-21.4028235706208</x:v>
      </x:c>
      <x:c r="D118" s="19" t="n">
        <x:v>-20.17595233617471</x:v>
      </x:c>
      <x:c r="E118" s="19" t="n">
        <x:v>-18.02151601723354</x:v>
      </x:c>
      <x:c r="F118" s="19" t="n">
        <x:v>-14.93017155247891</x:v>
      </x:c>
    </x:row>
    <x:row r="119" ht="22" customHeight="1">
      <x:c r="A119" s="15" t="str">
        <x:v>Республика Корея</x:v>
      </x:c>
      <x:c r="B119" s="20" t="d">
        <x:v>2020-05-01T00:00:00.000Z</x:v>
      </x:c>
      <x:c r="C119" s="19" t="n">
        <x:v>2.29896256514306</x:v>
      </x:c>
      <x:c r="D119" s="19" t="n">
        <x:v>2.52296285946472</x:v>
      </x:c>
      <x:c r="E119" s="19" t="n">
        <x:v>-0.49480809810683</x:v>
      </x:c>
      <x:c r="F119" s="19" t="n">
        <x:v>0.65674986865047</x:v>
      </x:c>
    </x:row>
    <x:row r="120" ht="22" customHeight="1">
      <x:c r="A120" s="15" t="str">
        <x:v>Республика Корея</x:v>
      </x:c>
      <x:c r="B120" s="20" t="d">
        <x:v>2020-06-01T00:00:00.000Z</x:v>
      </x:c>
      <x:c r="C120" s="19" t="n">
        <x:v>-6.18997927061998</x:v>
      </x:c>
      <x:c r="D120" s="19" t="n">
        <x:v>-4.04910056214111</x:v>
      </x:c>
      <x:c r="E120" s="19" t="n">
        <x:v>-7.6880623132519395</x:v>
      </x:c>
      <x:c r="F120" s="19" t="n">
        <x:v>-4.464250569576881</x:v>
      </x:c>
    </x:row>
    <x:row r="121" ht="22" customHeight="1">
      <x:c r="A121" s="15" t="str">
        <x:v>Республика Корея</x:v>
      </x:c>
      <x:c r="B121" s="20" t="d">
        <x:v>2020-07-01T00:00:00.000Z</x:v>
      </x:c>
      <x:c r="C121" s="19" t="n">
        <x:v>-3.06259892271839</x:v>
      </x:c>
      <x:c r="D121" s="19" t="n">
        <x:v>-1.37623264973829</x:v>
      </x:c>
      <x:c r="E121" s="19" t="n">
        <x:v>1.59575852829906</x:v>
      </x:c>
      <x:c r="F121" s="19" t="n">
        <x:v>2.45448100176981</x:v>
      </x:c>
    </x:row>
    <x:row r="122" ht="22" customHeight="1">
      <x:c r="A122" s="15" t="str">
        <x:v>Республика Корея</x:v>
      </x:c>
      <x:c r="B122" s="20" t="d">
        <x:v>2020-08-01T00:00:00.000Z</x:v>
      </x:c>
      <x:c r="C122" s="19" t="n">
        <x:v>-3.81149870574118</x:v>
      </x:c>
      <x:c r="D122" s="19" t="n">
        <x:v>-1.11512325102081</x:v>
      </x:c>
      <x:c r="E122" s="19" t="n">
        <x:v>1.44299688038706</x:v>
      </x:c>
      <x:c r="F122" s="19" t="n">
        <x:v>4.882211068765</x:v>
      </x:c>
    </x:row>
    <x:row r="123" ht="22" customHeight="1">
      <x:c r="A123" s="15" t="str">
        <x:v>Республика Корея</x:v>
      </x:c>
      <x:c r="B123" s="20" t="d">
        <x:v>2020-09-01T00:00:00.000Z</x:v>
      </x:c>
      <x:c r="C123" s="19" t="n">
        <x:v>6.19060568214777</x:v>
      </x:c>
      <x:c r="D123" s="19" t="n">
        <x:v>7.686367390209881</x:v>
      </x:c>
      <x:c r="E123" s="19" t="n">
        <x:v>9.15469738662323</x:v>
      </x:c>
      <x:c r="F123" s="19" t="n">
        <x:v>13.027353970858979</x:v>
      </x:c>
    </x:row>
    <x:row r="124" ht="22" customHeight="1">
      <x:c r="A124" s="15" t="str">
        <x:v>Республика Корея</x:v>
      </x:c>
      <x:c r="B124" s="20" t="d">
        <x:v>2020-10-01T00:00:00.000Z</x:v>
      </x:c>
      <x:c r="C124" s="19" t="n">
        <x:v>10.69776143704221</x:v>
      </x:c>
      <x:c r="D124" s="19" t="n">
        <x:v>10.55653483858322</x:v>
      </x:c>
      <x:c r="E124" s="19" t="n">
        <x:v>8.30503453939901</x:v>
      </x:c>
      <x:c r="F124" s="19" t="n">
        <x:v>11.55482381434689</x:v>
      </x:c>
    </x:row>
    <x:row r="125" ht="22" customHeight="1">
      <x:c r="A125" s="15" t="str">
        <x:v>Республика Корея</x:v>
      </x:c>
      <x:c r="B125" s="20" t="d">
        <x:v>2020-11-01T00:00:00.000Z</x:v>
      </x:c>
      <x:c r="C125" s="19" t="n">
        <x:v>13.74163210538628</x:v>
      </x:c>
      <x:c r="D125" s="19" t="n">
        <x:v>15.856267423488529</x:v>
      </x:c>
      <x:c r="E125" s="19" t="n">
        <x:v>22.36492159177898</x:v>
      </x:c>
      <x:c r="F125" s="19" t="n">
        <x:v>25.76251922413107</x:v>
      </x:c>
    </x:row>
    <x:row r="126" ht="22" customHeight="1">
      <x:c r="A126" s="15" t="str">
        <x:v>Республика Корея</x:v>
      </x:c>
      <x:c r="B126" s="20" t="d">
        <x:v>2020-12-01T00:00:00.000Z</x:v>
      </x:c>
      <x:c r="C126" s="19" t="n">
        <x:v>22.854761726779</x:v>
      </x:c>
      <x:c r="D126" s="19" t="n">
        <x:v>23.81944251517168</x:v>
      </x:c>
      <x:c r="E126" s="19" t="n">
        <x:v>32.85233589921327</x:v>
      </x:c>
      <x:c r="F126" s="19" t="n">
        <x:v>35.13382224732666</x:v>
      </x:c>
    </x:row>
    <x:row r="127" ht="22" customHeight="1">
      <x:c r="A127" s="15" t="str">
        <x:v>Республика Корея</x:v>
      </x:c>
      <x:c r="B127" s="20" t="d">
        <x:v>2021-01-01T00:00:00.000Z</x:v>
      </x:c>
      <x:c r="C127" s="19" t="n">
        <x:v>17.21552131125976</x:v>
      </x:c>
      <x:c r="D127" s="19" t="n">
        <x:v>15.77888654787222</x:v>
      </x:c>
      <x:c r="E127" s="19" t="n">
        <x:v>30.766432305504537</x:v>
      </x:c>
      <x:c r="F127" s="19" t="n">
        <x:v>30.846902027272773</x:v>
      </x:c>
    </x:row>
    <x:row r="128" ht="22" customHeight="1">
      <x:c r="A128" s="15" t="str">
        <x:v>Республика Корея</x:v>
      </x:c>
      <x:c r="B128" s="20" t="d">
        <x:v>2021-02-01T00:00:00.000Z</x:v>
      </x:c>
      <x:c r="C128" s="19" t="n">
        <x:v>11.98565791163354</x:v>
      </x:c>
      <x:c r="D128" s="19" t="n">
        <x:v>10.87290607581658</x:v>
      </x:c>
      <x:c r="E128" s="19" t="n">
        <x:v>22.66661357358011</x:v>
      </x:c>
      <x:c r="F128" s="19" t="n">
        <x:v>24.01559658655589</x:v>
      </x:c>
    </x:row>
    <x:row r="129" ht="22" customHeight="1">
      <x:c r="A129" s="15" t="str">
        <x:v>Республика Корея</x:v>
      </x:c>
      <x:c r="B129" s="20" t="d">
        <x:v>2021-03-01T00:00:00.000Z</x:v>
      </x:c>
      <x:c r="C129" s="19" t="n">
        <x:v>9.79173307005085</x:v>
      </x:c>
      <x:c r="D129" s="19" t="n">
        <x:v>9.546935549697901</x:v>
      </x:c>
      <x:c r="E129" s="19" t="n">
        <x:v>21.69608157390735</x:v>
      </x:c>
      <x:c r="F129" s="19" t="n">
        <x:v>23.1121791044811</x:v>
      </x:c>
    </x:row>
    <x:row r="130" ht="22" customHeight="1">
      <x:c r="A130" s="15" t="str">
        <x:v>Республика Корея</x:v>
      </x:c>
      <x:c r="B130" s="20" t="d">
        <x:v>2021-04-01T00:00:00.000Z</x:v>
      </x:c>
      <x:c r="C130" s="19" t="n">
        <x:v>28.6019125451696</x:v>
      </x:c>
      <x:c r="D130" s="19" t="n">
        <x:v>30.14954487915445</x:v>
      </x:c>
      <x:c r="E130" s="19" t="n">
        <x:v>43.19842222009927</x:v>
      </x:c>
      <x:c r="F130" s="19" t="n">
        <x:v>45.78783205543263</x:v>
      </x:c>
    </x:row>
    <x:row r="131" ht="22" customHeight="1">
      <x:c r="A131" s="15" t="str">
        <x:v>Республика Корея</x:v>
      </x:c>
      <x:c r="B131" s="20" t="d">
        <x:v>2021-05-01T00:00:00.000Z</x:v>
      </x:c>
      <x:c r="C131" s="19" t="n">
        <x:v>25.38531360905282</x:v>
      </x:c>
      <x:c r="D131" s="19" t="n">
        <x:v>27.06220103133441</x:v>
      </x:c>
      <x:c r="E131" s="19" t="n">
        <x:v>38.25937196847517</x:v>
      </x:c>
      <x:c r="F131" s="19" t="n">
        <x:v>41.20638101074528</x:v>
      </x:c>
    </x:row>
    <x:row r="132" ht="22" customHeight="1">
      <x:c r="A132" s="15" t="str">
        <x:v>Республика Корея</x:v>
      </x:c>
      <x:c r="B132" s="20" t="d">
        <x:v>2021-06-01T00:00:00.000Z</x:v>
      </x:c>
      <x:c r="C132" s="19" t="n">
        <x:v>33.26113569243305</x:v>
      </x:c>
      <x:c r="D132" s="19" t="n">
        <x:v>32.86596048804671</x:v>
      </x:c>
      <x:c r="E132" s="19" t="n">
        <x:v>38.31821377314954</x:v>
      </x:c>
      <x:c r="F132" s="19" t="n">
        <x:v>40.27281928984804</x:v>
      </x:c>
    </x:row>
    <x:row r="133" ht="22" customHeight="1">
      <x:c r="A133" s="15" t="str">
        <x:v>Республика Корея</x:v>
      </x:c>
      <x:c r="B133" s="20" t="d">
        <x:v>2021-07-01T00:00:00.000Z</x:v>
      </x:c>
      <x:c r="C133" s="19" t="n">
        <x:v>35.264560781147544</x:v>
      </x:c>
      <x:c r="D133" s="19" t="n">
        <x:v>33.1570015524754</x:v>
      </x:c>
      <x:c r="E133" s="19" t="n">
        <x:v>37.46092130562245</x:v>
      </x:c>
      <x:c r="F133" s="19" t="n">
        <x:v>38.36653104851097</x:v>
      </x:c>
    </x:row>
    <x:row r="134" ht="22" customHeight="1">
      <x:c r="A134" s="15" t="str">
        <x:v>Республика Корея</x:v>
      </x:c>
      <x:c r="B134" s="20" t="d">
        <x:v>2021-08-01T00:00:00.000Z</x:v>
      </x:c>
      <x:c r="C134" s="19" t="n">
        <x:v>37.48561838936475</x:v>
      </x:c>
      <x:c r="D134" s="19" t="n">
        <x:v>34.87128403801792</x:v>
      </x:c>
      <x:c r="E134" s="19" t="n">
        <x:v>44.77047739218128</x:v>
      </x:c>
      <x:c r="F134" s="19" t="n">
        <x:v>44.40624697523161</x:v>
      </x:c>
    </x:row>
    <x:row r="135" ht="22" customHeight="1">
      <x:c r="A135" s="15" t="str">
        <x:v>Республика Корея</x:v>
      </x:c>
      <x:c r="B135" s="20" t="d">
        <x:v>2021-09-01T00:00:00.000Z</x:v>
      </x:c>
      <x:c r="C135" s="19" t="n">
        <x:v>28.0192764048693</x:v>
      </x:c>
      <x:c r="D135" s="19" t="n">
        <x:v>26.64281301028131</x:v>
      </x:c>
      <x:c r="E135" s="19" t="n">
        <x:v>34.28717677766985</x:v>
      </x:c>
      <x:c r="F135" s="19" t="n">
        <x:v>33.716167084961704</x:v>
      </x:c>
    </x:row>
    <x:row r="136" ht="22" customHeight="1">
      <x:c r="A136" s="15" t="str">
        <x:v>Республика Корея</x:v>
      </x:c>
      <x:c r="B136" s="20" t="d">
        <x:v>2021-10-01T00:00:00.000Z</x:v>
      </x:c>
      <x:c r="C136" s="19" t="n">
        <x:v>21.268371761918132</x:v>
      </x:c>
      <x:c r="D136" s="19" t="n">
        <x:v>21.04843269964649</x:v>
      </x:c>
      <x:c r="E136" s="19" t="n">
        <x:v>26.88808296963831</x:v>
      </x:c>
      <x:c r="F136" s="19" t="n">
        <x:v>27.31912926818601</x:v>
      </x:c>
    </x:row>
    <x:row r="137" ht="22" customHeight="1">
      <x:c r="A137" s="15" t="str">
        <x:v>Республика Корея</x:v>
      </x:c>
      <x:c r="B137" s="20" t="d">
        <x:v>2021-11-01T00:00:00.000Z</x:v>
      </x:c>
      <x:c r="C137" s="19" t="n">
        <x:v>29.43467161568048</x:v>
      </x:c>
      <x:c r="D137" s="19" t="n">
        <x:v>28.27503379665184</x:v>
      </x:c>
      <x:c r="E137" s="19" t="n">
        <x:v>33.66061262894023</x:v>
      </x:c>
      <x:c r="F137" s="19" t="n">
        <x:v>33.40687373515729</x:v>
      </x:c>
    </x:row>
    <x:row r="138" ht="22" customHeight="1">
      <x:c r="A138" s="15" t="str">
        <x:v>Республика Корея</x:v>
      </x:c>
      <x:c r="B138" s="20" t="d">
        <x:v>2021-12-01T00:00:00.000Z</x:v>
      </x:c>
      <x:c r="C138" s="19" t="n">
        <x:v>27.86433354408197</x:v>
      </x:c>
      <x:c r="D138" s="19" t="n">
        <x:v>26.73641369020335</x:v>
      </x:c>
      <x:c r="E138" s="19" t="n">
        <x:v>33.30031036977386</x:v>
      </x:c>
      <x:c r="F138" s="19" t="n">
        <x:v>32.752154447011975</x:v>
      </x:c>
    </x:row>
    <x:row r="139" ht="22" customHeight="1">
      <x:c r="A139" s="15" t="str">
        <x:v>Республика Корея</x:v>
      </x:c>
      <x:c r="B139" s="20" t="d">
        <x:v>2022-01-01T00:00:00.000Z</x:v>
      </x:c>
      <x:c r="C139" s="19" t="n">
        <x:v>16.84640483716277</x:v>
      </x:c>
      <x:c r="D139" s="19" t="n">
        <x:v>17.36566780711245</x:v>
      </x:c>
      <x:c r="E139" s="19" t="n">
        <x:v>18.38480478855428</x:v>
      </x:c>
      <x:c r="F139" s="19" t="n">
        <x:v>20.22917326616664</x:v>
      </x:c>
    </x:row>
    <x:row r="140" ht="22" customHeight="1">
      <x:c r="A140" s="15" t="str">
        <x:v>Республика Корея</x:v>
      </x:c>
      <x:c r="B140" s="20" t="d">
        <x:v>2022-02-01T00:00:00.000Z</x:v>
      </x:c>
      <x:c r="C140" s="19" t="n">
        <x:v>13.991096773753132</x:v>
      </x:c>
      <x:c r="D140" s="19" t="n">
        <x:v>14.7207126460624</x:v>
      </x:c>
      <x:c r="E140" s="19" t="n">
        <x:v>16.28504513794799</x:v>
      </x:c>
      <x:c r="F140" s="19" t="n">
        <x:v>18.738511136732917</x:v>
      </x:c>
    </x:row>
    <x:row r="141" ht="22" customHeight="1">
      <x:c r="A141" s="15" t="str">
        <x:v>Республика Корея</x:v>
      </x:c>
      <x:c r="B141" s="20" t="d">
        <x:v>2022-03-01T00:00:00.000Z</x:v>
      </x:c>
      <x:c r="C141" s="19" t="n">
        <x:v>22.34604451393139</x:v>
      </x:c>
      <x:c r="D141" s="19" t="n">
        <x:v>22.75282815372773</x:v>
      </x:c>
      <x:c r="E141" s="19" t="n">
        <x:v>28.04673941839691</x:v>
      </x:c>
      <x:c r="F141" s="19" t="n">
        <x:v>30.13653883263232</x:v>
      </x:c>
    </x:row>
    <x:row r="142" ht="22" customHeight="1">
      <x:c r="A142" s="15" t="str">
        <x:v>Республика Корея</x:v>
      </x:c>
      <x:c r="B142" s="20" t="d">
        <x:v>2022-04-01T00:00:00.000Z</x:v>
      </x:c>
      <x:c r="C142" s="19" t="n">
        <x:v>8.729768703425101</x:v>
      </x:c>
      <x:c r="D142" s="19" t="n">
        <x:v>11.34041170164028</x:v>
      </x:c>
      <x:c r="E142" s="19" t="n">
        <x:v>12.97258761677641</x:v>
      </x:c>
      <x:c r="F142" s="19" t="n">
        <x:v>16.08328918461046</x:v>
      </x:c>
    </x:row>
    <x:row r="143" ht="22" customHeight="1">
      <x:c r="A143" s="15" t="str">
        <x:v>Республика Корея</x:v>
      </x:c>
      <x:c r="B143" s="20" t="d">
        <x:v>2022-05-01T00:00:00.000Z</x:v>
      </x:c>
      <x:c r="C143" s="19" t="n">
        <x:v>8.24607534168269</x:v>
      </x:c>
      <x:c r="D143" s="19" t="n">
        <x:v>9.92906479919628</x:v>
      </x:c>
      <x:c r="E143" s="19" t="n">
        <x:v>13.19880133880002</x:v>
      </x:c>
      <x:c r="F143" s="19" t="n">
        <x:v>15.343452301196631</x:v>
      </x:c>
    </x:row>
    <x:row r="144" ht="22" customHeight="1">
      <x:c r="A144" s="15" t="str">
        <x:v>Республика Корея</x:v>
      </x:c>
      <x:c r="B144" s="20" t="d">
        <x:v>2022-06-01T00:00:00.000Z</x:v>
      </x:c>
      <x:c r="C144" s="19" t="n">
        <x:v>5.27109464847931</x:v>
      </x:c>
      <x:c r="D144" s="19" t="n">
        <x:v>6.0311795404719</x:v>
      </x:c>
      <x:c r="E144" s="19" t="n">
        <x:v>11.128907923882329</x:v>
      </x:c>
      <x:c r="F144" s="19" t="n">
        <x:v>13.525176827080271</x:v>
      </x:c>
    </x:row>
    <x:row r="145" ht="22" customHeight="1">
      <x:c r="A145" s="15" t="str">
        <x:v>Республика Корея</x:v>
      </x:c>
      <x:c r="B145" s="20" t="d">
        <x:v>2022-07-01T00:00:00.000Z</x:v>
      </x:c>
      <x:c r="C145" s="19" t="n">
        <x:v>-9.28795672513045</x:v>
      </x:c>
      <x:c r="D145" s="19" t="n">
        <x:v>-4.9134022520731</x:v>
      </x:c>
      <x:c r="E145" s="19" t="n">
        <x:v>-1.54523156162088</x:v>
      </x:c>
      <x:c r="F145" s="19" t="n">
        <x:v>3.0879631419633498</x:v>
      </x:c>
    </x:row>
    <x:row r="146" ht="22" customHeight="1">
      <x:c r="A146" s="15" t="str">
        <x:v>Республика Корея</x:v>
      </x:c>
      <x:c r="B146" s="20" t="d">
        <x:v>2022-08-01T00:00:00.000Z</x:v>
      </x:c>
      <x:c r="C146" s="19" t="n">
        <x:v>-18.032659843751738</x:v>
      </x:c>
      <x:c r="D146" s="19" t="n">
        <x:v>-13.713329349900292</x:v>
      </x:c>
      <x:c r="E146" s="19" t="n">
        <x:v>-6.87662318191089</x:v>
      </x:c>
      <x:c r="F146" s="19" t="n">
        <x:v>-2.2392619384704897</x:v>
      </x:c>
    </x:row>
    <x:row r="147" ht="22" customHeight="1">
      <x:c r="A147" s="15" t="str">
        <x:v>Республика Корея</x:v>
      </x:c>
      <x:c r="B147" s="20" t="d">
        <x:v>2022-09-01T00:00:00.000Z</x:v>
      </x:c>
      <x:c r="C147" s="19" t="n">
        <x:v>-13.64011757137649</x:v>
      </x:c>
      <x:c r="D147" s="19" t="n">
        <x:v>-10.16524645673468</x:v>
      </x:c>
      <x:c r="E147" s="19" t="n">
        <x:v>-10.55479180184066</x:v>
      </x:c>
      <x:c r="F147" s="19" t="n">
        <x:v>-6.13235865949873</x:v>
      </x:c>
    </x:row>
    <x:row r="148" ht="22" customHeight="1">
      <x:c r="A148" s="15" t="str">
        <x:v>Республика Корея</x:v>
      </x:c>
      <x:c r="B148" s="20" t="d">
        <x:v>2022-10-01T00:00:00.000Z</x:v>
      </x:c>
      <x:c r="C148" s="19" t="n">
        <x:v>-24.28715144331901</x:v>
      </x:c>
      <x:c r="D148" s="19" t="n">
        <x:v>-19.64689259916291</x:v>
      </x:c>
      <x:c r="E148" s="19" t="n">
        <x:v>-25.31145953266649</x:v>
      </x:c>
      <x:c r="F148" s="19" t="n">
        <x:v>-19.47128099104945</x:v>
      </x:c>
    </x:row>
    <x:row r="149" ht="22" customHeight="1">
      <x:c r="A149" s="15" t="str">
        <x:v>Республика Корея</x:v>
      </x:c>
      <x:c r="B149" s="20" t="d">
        <x:v>2022-11-01T00:00:00.000Z</x:v>
      </x:c>
      <x:c r="C149" s="19" t="n">
        <x:v>-42.88261411685863</x:v>
      </x:c>
      <x:c r="D149" s="19" t="n">
        <x:v>-35.82199209423177</x:v>
      </x:c>
      <x:c r="E149" s="19" t="n">
        <x:v>-38.09595351248437</x:v>
      </x:c>
      <x:c r="F149" s="19" t="n">
        <x:v>-31.78714511185836</x:v>
      </x:c>
    </x:row>
    <x:row r="150" ht="22" customHeight="1">
      <x:c r="A150" s="15" t="str">
        <x:v>Республика Корея</x:v>
      </x:c>
      <x:c r="B150" s="20" t="d">
        <x:v>2022-12-01T00:00:00.000Z</x:v>
      </x:c>
      <x:c r="C150" s="19" t="n">
        <x:v>-47.61995036551774</x:v>
      </x:c>
      <x:c r="D150" s="19" t="n">
        <x:v>-38.922467891734854</x:v>
      </x:c>
      <x:c r="E150" s="19" t="n">
        <x:v>-47.89412289418125</x:v>
      </x:c>
      <x:c r="F150" s="19" t="n">
        <x:v>-39.44888159485137</x:v>
      </x:c>
    </x:row>
    <x:row r="151" ht="22" customHeight="1">
      <x:c r="A151" s="15" t="str">
        <x:v>Республика Корея</x:v>
      </x:c>
      <x:c r="B151" s="20" t="d">
        <x:v>2023-01-01T00:00:00.000Z</x:v>
      </x:c>
      <x:c r="C151" s="19" t="n">
        <x:v>-67.56726544712528</x:v>
      </x:c>
      <x:c r="D151" s="19" t="n">
        <x:v>-61.59438926034302</x:v>
      </x:c>
      <x:c r="E151" s="19" t="n">
        <x:v>-62.42974851794229</x:v>
      </x:c>
      <x:c r="F151" s="19" t="n">
        <x:v>-57.55339717414183</x:v>
      </x:c>
    </x:row>
    <x:row r="152" ht="22" customHeight="1">
      <x:c r="A152" s="15" t="str">
        <x:v>Республика Корея</x:v>
      </x:c>
      <x:c r="B152" s="20" t="d">
        <x:v>2023-02-01T00:00:00.000Z</x:v>
      </x:c>
      <x:c r="C152" s="19" t="n">
        <x:v>-61.569009449768465</x:v>
      </x:c>
      <x:c r="D152" s="19" t="n">
        <x:v>-56.29407827937798</x:v>
      </x:c>
      <x:c r="E152" s="19" t="n">
        <x:v>-58.58763250465307</x:v>
      </x:c>
      <x:c r="F152" s="19" t="n">
        <x:v>-54.40006240392869</x:v>
      </x:c>
    </x:row>
    <x:row r="153" ht="22" customHeight="1">
      <x:c r="A153" s="15" t="str">
        <x:v>Республика Корея</x:v>
      </x:c>
      <x:c r="B153" s="20" t="d">
        <x:v>2023-03-01T00:00:00.000Z</x:v>
      </x:c>
      <x:c r="C153" s="19" t="n">
        <x:v>-45.098756006357036</x:v>
      </x:c>
      <x:c r="D153" s="19" t="n">
        <x:v>-40.06220060184972</x:v>
      </x:c>
      <x:c r="E153" s="19" t="n">
        <x:v>-45.21994490809554</x:v>
      </x:c>
      <x:c r="F153" s="19" t="n">
        <x:v>-40.795583661426946</x:v>
      </x:c>
    </x:row>
    <x:row r="154" ht="22" customHeight="1">
      <x:c r="A154" s="15" t="str">
        <x:v>Республика Корея</x:v>
      </x:c>
      <x:c r="B154" s="20" t="d">
        <x:v>2023-04-01T00:00:00.000Z</x:v>
      </x:c>
      <x:c r="C154" s="19" t="n">
        <x:v>-55.289964141803274</x:v>
      </x:c>
      <x:c r="D154" s="19" t="n">
        <x:v>-50.65573676570823</x:v>
      </x:c>
      <x:c r="E154" s="19" t="n">
        <x:v>-52.023263107088816</x:v>
      </x:c>
      <x:c r="F154" s="19" t="n">
        <x:v>-47.82109059203776</x:v>
      </x:c>
    </x:row>
    <x:row r="155" ht="22" customHeight="1">
      <x:c r="A155" s="15" t="str">
        <x:v>Республика Корея</x:v>
      </x:c>
      <x:c r="B155" s="20" t="d">
        <x:v>2023-05-01T00:00:00.000Z</x:v>
      </x:c>
      <x:c r="C155" s="19" t="n">
        <x:v>-45.98319980872571</x:v>
      </x:c>
      <x:c r="D155" s="19" t="n">
        <x:v>-39.72242961977691</x:v>
      </x:c>
      <x:c r="E155" s="19" t="n">
        <x:v>-49.08322058880507</x:v>
      </x:c>
      <x:c r="F155" s="19" t="n">
        <x:v>-43.128855959011844</x:v>
      </x:c>
    </x:row>
    <x:row r="156" ht="22" customHeight="1">
      <x:c r="A156" s="15" t="str">
        <x:v>Республика Корея</x:v>
      </x:c>
      <x:c r="B156" s="20" t="d">
        <x:v>2023-06-01T00:00:00.000Z</x:v>
      </x:c>
      <x:c r="C156" s="19" t="n">
        <x:v>-36.675643523045494</x:v>
      </x:c>
      <x:c r="D156" s="19" t="n">
        <x:v>-32.16594400856877</x:v>
      </x:c>
      <x:c r="E156" s="19" t="n">
        <x:v>-34.254030137135935</x:v>
      </x:c>
      <x:c r="F156" s="19" t="n">
        <x:v>-29.90626526264925</x:v>
      </x:c>
    </x:row>
    <x:row r="157" ht="22" customHeight="1">
      <x:c r="A157" s="15" t="str">
        <x:v>Республика Корея</x:v>
      </x:c>
      <x:c r="B157" s="20" t="d">
        <x:v>2023-07-01T00:00:00.000Z</x:v>
      </x:c>
      <x:c r="C157" s="19" t="n">
        <x:v>-35.950353439472885</x:v>
      </x:c>
      <x:c r="D157" s="19" t="n">
        <x:v>-34.001523453192775</x:v>
      </x:c>
      <x:c r="E157" s="19" t="n">
        <x:v>-37.57493475925803</x:v>
      </x:c>
      <x:c r="F157" s="19" t="n">
        <x:v>-35.851704473368976</x:v>
      </x:c>
    </x:row>
    <x:row r="158" ht="22" customHeight="1">
      <x:c r="A158" s="15" t="str">
        <x:v>Республика Корея</x:v>
      </x:c>
      <x:c r="B158" s="20" t="d">
        <x:v>2023-08-01T00:00:00.000Z</x:v>
      </x:c>
      <x:c r="C158" s="19" t="n">
        <x:v>-18.088286521020517</x:v>
      </x:c>
      <x:c r="D158" s="19" t="n">
        <x:v>-16.32767301589764</x:v>
      </x:c>
      <x:c r="E158" s="19" t="n">
        <x:v>-24.16343860001183</x:v>
      </x:c>
      <x:c r="F158" s="19" t="n">
        <x:v>-22.57270408384831</x:v>
      </x:c>
    </x:row>
    <x:row r="159" ht="22" customHeight="1">
      <x:c r="A159" s="15" t="str">
        <x:v>Республика Корея</x:v>
      </x:c>
      <x:c r="B159" s="20" t="d">
        <x:v>2023-09-01T00:00:00.000Z</x:v>
      </x:c>
      <x:c r="C159" s="19" t="n">
        <x:v>-20.56705659737903</x:v>
      </x:c>
      <x:c r="D159" s="19" t="n">
        <x:v>-18.36547048559801</x:v>
      </x:c>
      <x:c r="E159" s="19" t="n">
        <x:v>-16.78675619940915</x:v>
      </x:c>
      <x:c r="F159" s="19" t="n">
        <x:v>-15.01436959729208</x:v>
      </x:c>
    </x:row>
    <x:row r="160" ht="22" customHeight="1">
      <x:c r="A160" s="15" t="str">
        <x:v>Республика Корея</x:v>
      </x:c>
      <x:c r="B160" s="20" t="d">
        <x:v>2023-10-01T00:00:00.000Z</x:v>
      </x:c>
      <x:c r="C160" s="19" t="n">
        <x:v>-3.68572947177846</x:v>
      </x:c>
      <x:c r="D160" s="19" t="n">
        <x:v>-2.9813452761742</x:v>
      </x:c>
      <x:c r="E160" s="19" t="n">
        <x:v>0.8483077127311399</x:v>
      </x:c>
      <x:c r="F160" s="19" t="n">
        <x:v>0.06821169778571</x:v>
      </x:c>
    </x:row>
    <x:row r="161" ht="22" customHeight="1">
      <x:c r="A161" s="15" t="str">
        <x:v>Республика Корея</x:v>
      </x:c>
      <x:c r="B161" s="20" t="d">
        <x:v>2023-11-01T00:00:00.000Z</x:v>
      </x:c>
      <x:c r="C161" s="19" t="n">
        <x:v>14.65685262258408</x:v>
      </x:c>
      <x:c r="D161" s="19" t="n">
        <x:v>11.80913847183055</x:v>
      </x:c>
      <x:c r="E161" s="19" t="n">
        <x:v>12.46899921331519</x:v>
      </x:c>
      <x:c r="F161" s="19" t="n">
        <x:v>9.89501233904768</x:v>
      </x:c>
    </x:row>
    <x:row r="162" ht="22" customHeight="1">
      <x:c r="A162" s="15" t="str">
        <x:v>Республика Корея</x:v>
      </x:c>
      <x:c r="B162" s="20" t="d">
        <x:v>2023-12-01T00:00:00.000Z</x:v>
      </x:c>
      <x:c r="C162" s="19" t="n">
        <x:v>19.98080372366562</x:v>
      </x:c>
      <x:c r="D162" s="19" t="n">
        <x:v>14.706671506921529</x:v>
      </x:c>
      <x:c r="E162" s="19" t="n">
        <x:v>29.173435472834992</x:v>
      </x:c>
      <x:c r="F162" s="19" t="n">
        <x:v>23.45428218820263</x:v>
      </x:c>
    </x:row>
    <x:row r="163" ht="22" customHeight="1">
      <x:c r="A163" s="15" t="str">
        <x:v>Республика Корея</x:v>
      </x:c>
      <x:c r="B163" s="20" t="d">
        <x:v>2024-01-01T00:00:00.000Z</x:v>
      </x:c>
      <x:c r="C163" s="19" t="n">
        <x:v>54.91243450261114</x:v>
      </x:c>
      <x:c r="D163" s="19" t="n">
        <x:v>51.05422709951451</x:v>
      </x:c>
      <x:c r="E163" s="19" t="n">
        <x:v>53.23336183858826</x:v>
      </x:c>
      <x:c r="F163" s="19" t="n">
        <x:v>48.954220685133734</x:v>
      </x:c>
    </x:row>
    <x:row r="164" ht="22" customHeight="1">
      <x:c r="A164" s="15" t="str">
        <x:v>Республика Корея</x:v>
      </x:c>
      <x:c r="B164" s="20" t="d">
        <x:v>2024-02-01T00:00:00.000Z</x:v>
      </x:c>
      <x:c r="C164" s="19" t="n">
        <x:v>57.83223705991222</x:v>
      </x:c>
      <x:c r="D164" s="19" t="n">
        <x:v>53.37879284330984</x:v>
      </x:c>
      <x:c r="E164" s="19" t="n">
        <x:v>55.35169434949591</x:v>
      </x:c>
      <x:c r="F164" s="19" t="n">
        <x:v>51.08097429273446</x:v>
      </x:c>
    </x:row>
    <x:row r="165" ht="22" customHeight="1">
      <x:c r="A165" s="15" t="str">
        <x:v>Республика Корея</x:v>
      </x:c>
      <x:c r="B165" s="20" t="d">
        <x:v>2024-03-01T00:00:00.000Z</x:v>
      </x:c>
      <x:c r="C165" s="19" t="n">
        <x:v>30.38474498077192</x:v>
      </x:c>
      <x:c r="D165" s="19" t="n">
        <x:v>26.21682190369212</x:v>
      </x:c>
      <x:c r="E165" s="19" t="n">
        <x:v>34.846704982341606</x:v>
      </x:c>
      <x:c r="F165" s="19" t="n">
        <x:v>30.144659226931047</x:v>
      </x:c>
    </x:row>
    <x:row r="166" ht="22" customHeight="1">
      <x:c r="A166" s="15" t="str">
        <x:v>Республика Корея</x:v>
      </x:c>
      <x:c r="B166" s="20" t="d">
        <x:v>2024-04-01T00:00:00.000Z</x:v>
      </x:c>
      <x:c r="C166" s="19" t="n">
        <x:v>46.92158241382679</x:v>
      </x:c>
      <x:c r="D166" s="19" t="n">
        <x:v>41.88638406016269</x:v>
      </x:c>
      <x:c r="E166" s="19" t="n">
        <x:v>53.36184328828802</x:v>
      </x:c>
      <x:c r="F166" s="19" t="n">
        <x:v>47.332703294708054</x:v>
      </x:c>
    </x:row>
    <x:row r="167" ht="22" customHeight="1">
      <x:c r="A167" s="15" t="str">
        <x:v>Республика Корея</x:v>
      </x:c>
      <x:c r="B167" s="20" t="d">
        <x:v>2024-05-01T00:00:00.000Z</x:v>
      </x:c>
      <x:c r="C167" s="19" t="n">
        <x:v>40.87568072248448</x:v>
      </x:c>
      <x:c r="D167" s="19" t="n">
        <x:v>36.093225026906154</x:v>
      </x:c>
      <x:c r="E167" s="19" t="n">
        <x:v>53.28987832719443</x:v>
      </x:c>
      <x:c r="F167" s="19" t="n">
        <x:v>47.47194692051878</x:v>
      </x:c>
    </x:row>
    <x:row r="168" ht="22" customHeight="1">
      <x:c r="A168" s="15" t="str">
        <x:v>Республика Корея</x:v>
      </x:c>
      <x:c r="B168" s="20" t="d">
        <x:v>2024-06-01T00:00:00.000Z</x:v>
      </x:c>
      <x:c r="C168" s="19" t="n">
        <x:v>34.619220084287875</x:v>
      </x:c>
      <x:c r="D168" s="19" t="n">
        <x:v>30.833508482467558</x:v>
      </x:c>
      <x:c r="E168" s="19" t="n">
        <x:v>46.0315604932357</x:v>
      </x:c>
      <x:c r="F168" s="19" t="n">
        <x:v>40.701508215126495</x:v>
      </x:c>
    </x:row>
    <x:row r="169" ht="22" customHeight="1">
      <x:c r="A169" s="15" t="str">
        <x:v>Республика Корея</x:v>
      </x:c>
      <x:c r="B169" s="20" t="d">
        <x:v>2024-07-01T00:00:00.000Z</x:v>
      </x:c>
      <x:c r="C169" s="19" t="n">
        <x:v>36.8860645297162</x:v>
      </x:c>
      <x:c r="D169" s="19" t="n">
        <x:v>33.56213628517364</x:v>
      </x:c>
      <x:c r="E169" s="19" t="n">
        <x:v>51.50472941935709</x:v>
      </x:c>
      <x:c r="F169" s="19" t="n">
        <x:v>45.8972213139546</x:v>
      </x:c>
    </x:row>
    <x:row r="170" ht="22" customHeight="1">
      <x:c r="A170" s="15" t="str">
        <x:v>Республика Корея</x:v>
      </x:c>
      <x:c r="B170" s="20" t="d">
        <x:v>2024-08-01T00:00:00.000Z</x:v>
      </x:c>
      <x:c r="C170" s="19" t="n">
        <x:v>19.6597547142165</x:v>
      </x:c>
      <x:c r="D170" s="19" t="n">
        <x:v>17.75283652081835</x:v>
      </x:c>
      <x:c r="E170" s="19" t="n">
        <x:v>34.97943182243558</x:v>
      </x:c>
      <x:c r="F170" s="19" t="n">
        <x:v>30.4178581011178</x:v>
      </x:c>
    </x:row>
    <x:row r="171" ht="22" customHeight="1">
      <x:c r="A171" s="15" t="str">
        <x:v>Республика Корея</x:v>
      </x:c>
      <x:c r="B171" s="20" t="d">
        <x:v>2024-09-01T00:00:00.000Z</x:v>
      </x:c>
      <x:c r="C171" s="19" t="n">
        <x:v>21.805758507752472</x:v>
      </x:c>
      <x:c r="D171" s="19" t="n">
        <x:v>18.60705118385403</x:v>
      </x:c>
      <x:c r="E171" s="19" t="n">
        <x:v>36.51486600418765</x:v>
      </x:c>
      <x:c r="F171" s="19" t="n">
        <x:v>32.22712546658601</x:v>
      </x:c>
    </x:row>
    <x:row r="172" ht="22" customHeight="1">
      <x:c r="A172" s="15" t="str">
        <x:v>Республика Корея</x:v>
      </x:c>
      <x:c r="B172" s="20" t="d">
        <x:v>2024-10-01T00:00:00.000Z</x:v>
      </x:c>
      <x:c r="C172" s="19" t="n">
        <x:v>15.325670532226049</x:v>
      </x:c>
      <x:c r="D172" s="19" t="n">
        <x:v>14.31574694799021</x:v>
      </x:c>
      <x:c r="E172" s="19" t="n">
        <x:v>35.47348957925438</x:v>
      </x:c>
      <x:c r="F172" s="19" t="n">
        <x:v>31.53796812426461</x:v>
      </x:c>
    </x:row>
    <x:row r="173" ht="22" customHeight="1">
      <x:c r="A173" s="15" t="str">
        <x:v>Республика Корея</x:v>
      </x:c>
      <x:c r="B173" s="20" t="d">
        <x:v>2024-11-01T00:00:00.000Z</x:v>
      </x:c>
      <x:c r="C173" s="19" t="n">
        <x:v>8.95322302158311</x:v>
      </x:c>
      <x:c r="D173" s="19" t="n">
        <x:v>7.03944425496794</x:v>
      </x:c>
      <x:c r="E173" s="19" t="n">
        <x:v>29.839233189178273</x:v>
      </x:c>
      <x:c r="F173" s="19" t="n">
        <x:v>25.36204009565418</x:v>
      </x:c>
    </x:row>
    <x:row r="174" ht="22" customHeight="1">
      <x:c r="A174" s="15" t="str">
        <x:v>Республика Корея</x:v>
      </x:c>
      <x:c r="B174" s="20" t="d">
        <x:v>2024-12-01T00:00:00.000Z</x:v>
      </x:c>
      <x:c r="C174" s="19" t="n">
        <x:v>14.453377076349561</x:v>
      </x:c>
      <x:c r="D174" s="19" t="n">
        <x:v>12.672493436920401</x:v>
      </x:c>
      <x:c r="E174" s="19" t="n">
        <x:v>29.101475161571212</x:v>
      </x:c>
      <x:c r="F174" s="19" t="n">
        <x:v>26.710510669967242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34" hidden="0" customWidth="1"/>
    <x:col min="4" max="4" width="23" hidden="0" customWidth="1"/>
    <x:col min="5" max="5" width="34" hidden="0" customWidth="1"/>
    <x:col min="6" max="6" width="27" hidden="0" customWidth="1"/>
    <x:col min="7" max="7" width="25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</x:row>
    <x:row r="2" ht="29" customHeight="1">
      <x:c r="A2" s="4" t="str">
        <x:v>Приложение Г. Потоки от товаров к направлениям</x:v>
      </x:c>
      <x:c r="B2" s="5"/>
      <x:c r="C2" s="5"/>
      <x:c r="D2" s="5"/>
      <x:c r="E2" s="5"/>
      <x:c r="F2" s="5"/>
      <x:c r="G2" s="5"/>
    </x:row>
    <x:row r="3" ht="22" customHeight="1">
      <x:c r="A3" s="6" t="str">
        <x:v>Экспорт 2024 года. Толщина связи равна стоимости. Схема не отражает маршрут производства или конечное потребление.</x:v>
      </x:c>
      <x:c r="B3" s="2"/>
      <x:c r="C3" s="2"/>
      <x:c r="D3" s="2"/>
      <x:c r="E3" s="2"/>
      <x:c r="F3" s="2"/>
      <x:c r="G3" s="2"/>
    </x:row>
    <x:row r="4" ht="22" customHeight="1">
      <x:c r="A4" s="7" t="str">
        <x:v>Источник: S01</x:v>
      </x:c>
      <x:c r="B4" s="2"/>
      <x:c r="C4" s="2"/>
      <x:c r="D4" s="2"/>
      <x:c r="E4" s="2"/>
      <x:c r="F4" s="2"/>
      <x:c r="G4" s="2"/>
    </x:row>
    <x:row r="5" ht="26" customHeight="1">
      <x:c r="A5" s="8" t="str">
        <x:v>Связи с весами</x:v>
      </x:c>
      <x:c r="B5" s="2"/>
      <x:c r="C5" s="2"/>
      <x:c r="D5" s="2"/>
      <x:c r="E5" s="2"/>
      <x:c r="F5" s="2"/>
      <x:c r="G5" s="2"/>
    </x:row>
    <x:row r="6" ht="36" customHeight="1">
      <x:c r="A6" s="13" t="str">
        <x:v>Страна</x:v>
      </x:c>
      <x:c r="B6" s="13" t="str">
        <x:v>ID товара</x:v>
      </x:c>
      <x:c r="C6" s="13" t="str">
        <x:v>Товар</x:v>
      </x:c>
      <x:c r="D6" s="13" t="str">
        <x:v>ID направления</x:v>
      </x:c>
      <x:c r="E6" s="13" t="str">
        <x:v>Направление</x:v>
      </x:c>
      <x:c r="F6" s="13" t="str">
        <x:v>Экспорт, долл.</x:v>
      </x:c>
      <x:c r="G6" s="13" t="str">
        <x:v>Экспорт, млрд долл.</x:v>
      </x:c>
    </x:row>
    <x:row r="7" ht="22" customHeight="1">
      <x:c r="A7" s="15" t="str">
        <x:v>Япония</x:v>
      </x:c>
      <x:c r="B7" s="15" t="str">
        <x:v>392_P854231</x:v>
      </x:c>
      <x:c r="C7" s="15" t="str">
        <x:v>Процессоры и контроллеры</x:v>
      </x:c>
      <x:c r="D7" s="15" t="str">
        <x:v>392_D156</x:v>
      </x:c>
      <x:c r="E7" s="15" t="str">
        <x:v>Китай</x:v>
      </x:c>
      <x:c r="F7" s="19" t="n">
        <x:v>983107083.365</x:v>
      </x:c>
      <x:c r="G7" s="19" t="n">
        <x:f>F7/10^9</x:f>
        <x:v>0.983107083365</x:v>
      </x:c>
    </x:row>
    <x:row r="8" ht="22" customHeight="1">
      <x:c r="A8" s="15" t="str">
        <x:v>Япония</x:v>
      </x:c>
      <x:c r="B8" s="15" t="str">
        <x:v>392_P854231</x:v>
      </x:c>
      <x:c r="C8" s="15" t="str">
        <x:v>Процессоры и контроллеры</x:v>
      </x:c>
      <x:c r="D8" s="15" t="str">
        <x:v>392_D344</x:v>
      </x:c>
      <x:c r="E8" s="15" t="str">
        <x:v>Гонконг</x:v>
      </x:c>
      <x:c r="F8" s="19" t="n">
        <x:v>286582525.554</x:v>
      </x:c>
      <x:c r="G8" s="19" t="n">
        <x:f>F8/10^9</x:f>
        <x:v>0.28658252555400004</x:v>
      </x:c>
    </x:row>
    <x:row r="9" ht="22" customHeight="1">
      <x:c r="A9" s="15" t="str">
        <x:v>Япония</x:v>
      </x:c>
      <x:c r="B9" s="15" t="str">
        <x:v>392_P854231</x:v>
      </x:c>
      <x:c r="C9" s="15" t="str">
        <x:v>Процессоры и контроллеры</x:v>
      </x:c>
      <x:c r="D9" s="15" t="str">
        <x:v>392_D490</x:v>
      </x:c>
      <x:c r="E9" s="15" t="str">
        <x:v>Прочая Азия, н.в.д. (490)</x:v>
      </x:c>
      <x:c r="F9" s="19" t="n">
        <x:v>307833919.457</x:v>
      </x:c>
      <x:c r="G9" s="19" t="n">
        <x:f>F9/10^9</x:f>
        <x:v>0.307833919457</x:v>
      </x:c>
    </x:row>
    <x:row r="10" ht="22" customHeight="1">
      <x:c r="A10" s="15" t="str">
        <x:v>Япония</x:v>
      </x:c>
      <x:c r="B10" s="15" t="str">
        <x:v>392_P854231</x:v>
      </x:c>
      <x:c r="C10" s="15" t="str">
        <x:v>Процессоры и контроллеры</x:v>
      </x:c>
      <x:c r="D10" s="15" t="str">
        <x:v>392_D704</x:v>
      </x:c>
      <x:c r="E10" s="15" t="str">
        <x:v>Вьетнам</x:v>
      </x:c>
      <x:c r="F10" s="19" t="n">
        <x:v>30927581.323</x:v>
      </x:c>
      <x:c r="G10" s="19" t="n">
        <x:f>F10/10^9</x:f>
        <x:v>0.030927581322999997</x:v>
      </x:c>
    </x:row>
    <x:row r="11" ht="22" customHeight="1">
      <x:c r="A11" s="15" t="str">
        <x:v>Япония</x:v>
      </x:c>
      <x:c r="B11" s="15" t="str">
        <x:v>392_P854231</x:v>
      </x:c>
      <x:c r="C11" s="15" t="str">
        <x:v>Процессоры и контроллеры</x:v>
      </x:c>
      <x:c r="D11" s="15" t="str">
        <x:v>392_D702</x:v>
      </x:c>
      <x:c r="E11" s="15" t="str">
        <x:v>Сингапур</x:v>
      </x:c>
      <x:c r="F11" s="19" t="n">
        <x:v>144316896.347</x:v>
      </x:c>
      <x:c r="G11" s="19" t="n">
        <x:f>F11/10^9</x:f>
        <x:v>0.144316896347</x:v>
      </x:c>
    </x:row>
    <x:row r="12" ht="22" customHeight="1">
      <x:c r="A12" s="15" t="str">
        <x:v>Япония</x:v>
      </x:c>
      <x:c r="B12" s="15" t="str">
        <x:v>392_P854231</x:v>
      </x:c>
      <x:c r="C12" s="15" t="str">
        <x:v>Процессоры и контроллеры</x:v>
      </x:c>
      <x:c r="D12" s="15" t="str">
        <x:v>392_D608</x:v>
      </x:c>
      <x:c r="E12" s="15" t="str">
        <x:v>Филиппины</x:v>
      </x:c>
      <x:c r="F12" s="19" t="n">
        <x:v>57553626.922</x:v>
      </x:c>
      <x:c r="G12" s="19" t="n">
        <x:f>F12/10^9</x:f>
        <x:v>0.057553626922</x:v>
      </x:c>
    </x:row>
    <x:row r="13" ht="22" customHeight="1">
      <x:c r="A13" s="15" t="str">
        <x:v>Япония</x:v>
      </x:c>
      <x:c r="B13" s="15" t="str">
        <x:v>392_P854231</x:v>
      </x:c>
      <x:c r="C13" s="15" t="str">
        <x:v>Процессоры и контроллеры</x:v>
      </x:c>
      <x:c r="D13" s="15" t="str">
        <x:v>392_D842</x:v>
      </x:c>
      <x:c r="E13" s="15" t="str">
        <x:v>США</x:v>
      </x:c>
      <x:c r="F13" s="19" t="n">
        <x:v>398695664.651</x:v>
      </x:c>
      <x:c r="G13" s="19" t="n">
        <x:f>F13/10^9</x:f>
        <x:v>0.39869566465100004</x:v>
      </x:c>
    </x:row>
    <x:row r="14" ht="22" customHeight="1">
      <x:c r="A14" s="15" t="str">
        <x:v>Япония</x:v>
      </x:c>
      <x:c r="B14" s="15" t="str">
        <x:v>392_P854231</x:v>
      </x:c>
      <x:c r="C14" s="15" t="str">
        <x:v>Процессоры и контроллеры</x:v>
      </x:c>
      <x:c r="D14" s="15" t="str">
        <x:v>392_D764</x:v>
      </x:c>
      <x:c r="E14" s="15" t="str">
        <x:v>Таиланд</x:v>
      </x:c>
      <x:c r="F14" s="19" t="n">
        <x:v>200941065.041</x:v>
      </x:c>
      <x:c r="G14" s="19" t="n">
        <x:f>F14/10^9</x:f>
        <x:v>0.200941065041</x:v>
      </x:c>
    </x:row>
    <x:row r="15" ht="22" customHeight="1">
      <x:c r="A15" s="15" t="str">
        <x:v>Япония</x:v>
      </x:c>
      <x:c r="B15" s="15" t="str">
        <x:v>392_P854231</x:v>
      </x:c>
      <x:c r="C15" s="15" t="str">
        <x:v>Процессоры и контроллеры</x:v>
      </x:c>
      <x:c r="D15" s="15" t="str">
        <x:v>392_D-1</x:v>
      </x:c>
      <x:c r="E15" s="15" t="str">
        <x:v>Остальные направления</x:v>
      </x:c>
      <x:c r="F15" s="19" t="n">
        <x:v>625156770.359</x:v>
      </x:c>
      <x:c r="G15" s="19" t="n">
        <x:f>F15/10^9</x:f>
        <x:v>0.625156770359</x:v>
      </x:c>
    </x:row>
    <x:row r="16" ht="22" customHeight="1">
      <x:c r="A16" s="15" t="str">
        <x:v>Япония</x:v>
      </x:c>
      <x:c r="B16" s="15" t="str">
        <x:v>392_P854232</x:v>
      </x:c>
      <x:c r="C16" s="15" t="str">
        <x:v>Память</x:v>
      </x:c>
      <x:c r="D16" s="15" t="str">
        <x:v>392_D156</x:v>
      </x:c>
      <x:c r="E16" s="15" t="str">
        <x:v>Китай</x:v>
      </x:c>
      <x:c r="F16" s="19" t="n">
        <x:v>4051708935.629</x:v>
      </x:c>
      <x:c r="G16" s="19" t="n">
        <x:f>F16/10^9</x:f>
        <x:v>4.051708935629001</x:v>
      </x:c>
    </x:row>
    <x:row r="17" ht="22" customHeight="1">
      <x:c r="A17" s="15" t="str">
        <x:v>Япония</x:v>
      </x:c>
      <x:c r="B17" s="15" t="str">
        <x:v>392_P854232</x:v>
      </x:c>
      <x:c r="C17" s="15" t="str">
        <x:v>Память</x:v>
      </x:c>
      <x:c r="D17" s="15" t="str">
        <x:v>392_D344</x:v>
      </x:c>
      <x:c r="E17" s="15" t="str">
        <x:v>Гонконг</x:v>
      </x:c>
      <x:c r="F17" s="19" t="n">
        <x:v>220032682.718</x:v>
      </x:c>
      <x:c r="G17" s="19" t="n">
        <x:f>F17/10^9</x:f>
        <x:v>0.220032682718</x:v>
      </x:c>
    </x:row>
    <x:row r="18" ht="22" customHeight="1">
      <x:c r="A18" s="15" t="str">
        <x:v>Япония</x:v>
      </x:c>
      <x:c r="B18" s="15" t="str">
        <x:v>392_P854232</x:v>
      </x:c>
      <x:c r="C18" s="15" t="str">
        <x:v>Память</x:v>
      </x:c>
      <x:c r="D18" s="15" t="str">
        <x:v>392_D490</x:v>
      </x:c>
      <x:c r="E18" s="15" t="str">
        <x:v>Прочая Азия, н.в.д. (490)</x:v>
      </x:c>
      <x:c r="F18" s="19" t="n">
        <x:v>6386769396.2369995</x:v>
      </x:c>
      <x:c r="G18" s="19" t="n">
        <x:f>F18/10^9</x:f>
        <x:v>6.386769396237</x:v>
      </x:c>
    </x:row>
    <x:row r="19" ht="22" customHeight="1">
      <x:c r="A19" s="15" t="str">
        <x:v>Япония</x:v>
      </x:c>
      <x:c r="B19" s="15" t="str">
        <x:v>392_P854232</x:v>
      </x:c>
      <x:c r="C19" s="15" t="str">
        <x:v>Память</x:v>
      </x:c>
      <x:c r="D19" s="15" t="str">
        <x:v>392_D704</x:v>
      </x:c>
      <x:c r="E19" s="15" t="str">
        <x:v>Вьетнам</x:v>
      </x:c>
      <x:c r="F19" s="19" t="n">
        <x:v>222907764.627</x:v>
      </x:c>
      <x:c r="G19" s="19" t="n">
        <x:f>F19/10^9</x:f>
        <x:v>0.22290776462700002</x:v>
      </x:c>
    </x:row>
    <x:row r="20" ht="22" customHeight="1">
      <x:c r="A20" s="15" t="str">
        <x:v>Япония</x:v>
      </x:c>
      <x:c r="B20" s="15" t="str">
        <x:v>392_P854232</x:v>
      </x:c>
      <x:c r="C20" s="15" t="str">
        <x:v>Память</x:v>
      </x:c>
      <x:c r="D20" s="15" t="str">
        <x:v>392_D702</x:v>
      </x:c>
      <x:c r="E20" s="15" t="str">
        <x:v>Сингапур</x:v>
      </x:c>
      <x:c r="F20" s="19" t="n">
        <x:v>416520646.587</x:v>
      </x:c>
      <x:c r="G20" s="19" t="n">
        <x:f>F20/10^9</x:f>
        <x:v>0.416520646587</x:v>
      </x:c>
    </x:row>
    <x:row r="21" ht="22" customHeight="1">
      <x:c r="A21" s="15" t="str">
        <x:v>Япония</x:v>
      </x:c>
      <x:c r="B21" s="15" t="str">
        <x:v>392_P854232</x:v>
      </x:c>
      <x:c r="C21" s="15" t="str">
        <x:v>Память</x:v>
      </x:c>
      <x:c r="D21" s="15" t="str">
        <x:v>392_D608</x:v>
      </x:c>
      <x:c r="E21" s="15" t="str">
        <x:v>Филиппины</x:v>
      </x:c>
      <x:c r="F21" s="19" t="n">
        <x:v>333546933.377</x:v>
      </x:c>
      <x:c r="G21" s="19" t="n">
        <x:f>F21/10^9</x:f>
        <x:v>0.333546933377</x:v>
      </x:c>
    </x:row>
    <x:row r="22" ht="22" customHeight="1">
      <x:c r="A22" s="15" t="str">
        <x:v>Япония</x:v>
      </x:c>
      <x:c r="B22" s="15" t="str">
        <x:v>392_P854232</x:v>
      </x:c>
      <x:c r="C22" s="15" t="str">
        <x:v>Память</x:v>
      </x:c>
      <x:c r="D22" s="15" t="str">
        <x:v>392_D842</x:v>
      </x:c>
      <x:c r="E22" s="15" t="str">
        <x:v>США</x:v>
      </x:c>
      <x:c r="F22" s="19" t="n">
        <x:v>89790905.022</x:v>
      </x:c>
      <x:c r="G22" s="19" t="n">
        <x:f>F22/10^9</x:f>
        <x:v>0.089790905022</x:v>
      </x:c>
    </x:row>
    <x:row r="23" ht="22" customHeight="1">
      <x:c r="A23" s="15" t="str">
        <x:v>Япония</x:v>
      </x:c>
      <x:c r="B23" s="15" t="str">
        <x:v>392_P854232</x:v>
      </x:c>
      <x:c r="C23" s="15" t="str">
        <x:v>Память</x:v>
      </x:c>
      <x:c r="D23" s="15" t="str">
        <x:v>392_D764</x:v>
      </x:c>
      <x:c r="E23" s="15" t="str">
        <x:v>Таиланд</x:v>
      </x:c>
      <x:c r="F23" s="19" t="n">
        <x:v>230539772.062</x:v>
      </x:c>
      <x:c r="G23" s="19" t="n">
        <x:f>F23/10^9</x:f>
        <x:v>0.23053977206200002</x:v>
      </x:c>
    </x:row>
    <x:row r="24" ht="22" customHeight="1">
      <x:c r="A24" s="15" t="str">
        <x:v>Япония</x:v>
      </x:c>
      <x:c r="B24" s="15" t="str">
        <x:v>392_P854232</x:v>
      </x:c>
      <x:c r="C24" s="15" t="str">
        <x:v>Память</x:v>
      </x:c>
      <x:c r="D24" s="15" t="str">
        <x:v>392_D-1</x:v>
      </x:c>
      <x:c r="E24" s="15" t="str">
        <x:v>Остальные направления</x:v>
      </x:c>
      <x:c r="F24" s="19" t="n">
        <x:v>947697974.046</x:v>
      </x:c>
      <x:c r="G24" s="19" t="n">
        <x:f>F24/10^9</x:f>
        <x:v>0.947697974046</x:v>
      </x:c>
    </x:row>
    <x:row r="25" ht="22" customHeight="1">
      <x:c r="A25" s="15" t="str">
        <x:v>Япония</x:v>
      </x:c>
      <x:c r="B25" s="15" t="str">
        <x:v>392_P854233</x:v>
      </x:c>
      <x:c r="C25" s="15" t="str">
        <x:v>Усилители</x:v>
      </x:c>
      <x:c r="D25" s="15" t="str">
        <x:v>392_D156</x:v>
      </x:c>
      <x:c r="E25" s="15" t="str">
        <x:v>Китай</x:v>
      </x:c>
      <x:c r="F25" s="19" t="n">
        <x:v>21759421.777</x:v>
      </x:c>
      <x:c r="G25" s="19" t="n">
        <x:f>F25/10^9</x:f>
        <x:v>0.021759421777</x:v>
      </x:c>
    </x:row>
    <x:row r="26" ht="22" customHeight="1">
      <x:c r="A26" s="15" t="str">
        <x:v>Япония</x:v>
      </x:c>
      <x:c r="B26" s="15" t="str">
        <x:v>392_P854233</x:v>
      </x:c>
      <x:c r="C26" s="15" t="str">
        <x:v>Усилители</x:v>
      </x:c>
      <x:c r="D26" s="15" t="str">
        <x:v>392_D344</x:v>
      </x:c>
      <x:c r="E26" s="15" t="str">
        <x:v>Гонконг</x:v>
      </x:c>
      <x:c r="F26" s="19" t="n">
        <x:v>26830226.737999998</x:v>
      </x:c>
      <x:c r="G26" s="19" t="n">
        <x:f>F26/10^9</x:f>
        <x:v>0.026830226737999997</x:v>
      </x:c>
    </x:row>
    <x:row r="27" ht="22" customHeight="1">
      <x:c r="A27" s="15" t="str">
        <x:v>Япония</x:v>
      </x:c>
      <x:c r="B27" s="15" t="str">
        <x:v>392_P854233</x:v>
      </x:c>
      <x:c r="C27" s="15" t="str">
        <x:v>Усилители</x:v>
      </x:c>
      <x:c r="D27" s="15" t="str">
        <x:v>392_D490</x:v>
      </x:c>
      <x:c r="E27" s="15" t="str">
        <x:v>Прочая Азия, н.в.д. (490)</x:v>
      </x:c>
      <x:c r="F27" s="19" t="n">
        <x:v>7672359.693</x:v>
      </x:c>
      <x:c r="G27" s="19" t="n">
        <x:f>F27/10^9</x:f>
        <x:v>0.007672359693</x:v>
      </x:c>
    </x:row>
    <x:row r="28" ht="22" customHeight="1">
      <x:c r="A28" s="15" t="str">
        <x:v>Япония</x:v>
      </x:c>
      <x:c r="B28" s="15" t="str">
        <x:v>392_P854233</x:v>
      </x:c>
      <x:c r="C28" s="15" t="str">
        <x:v>Усилители</x:v>
      </x:c>
      <x:c r="D28" s="15" t="str">
        <x:v>392_D704</x:v>
      </x:c>
      <x:c r="E28" s="15" t="str">
        <x:v>Вьетнам</x:v>
      </x:c>
      <x:c r="F28" s="19" t="n">
        <x:v>14361623.838</x:v>
      </x:c>
      <x:c r="G28" s="19" t="n">
        <x:f>F28/10^9</x:f>
        <x:v>0.014361623838</x:v>
      </x:c>
    </x:row>
    <x:row r="29" ht="22" customHeight="1">
      <x:c r="A29" s="15" t="str">
        <x:v>Япония</x:v>
      </x:c>
      <x:c r="B29" s="15" t="str">
        <x:v>392_P854233</x:v>
      </x:c>
      <x:c r="C29" s="15" t="str">
        <x:v>Усилители</x:v>
      </x:c>
      <x:c r="D29" s="15" t="str">
        <x:v>392_D702</x:v>
      </x:c>
      <x:c r="E29" s="15" t="str">
        <x:v>Сингапур</x:v>
      </x:c>
      <x:c r="F29" s="19" t="n">
        <x:v>12034103.145</x:v>
      </x:c>
      <x:c r="G29" s="19" t="n">
        <x:f>F29/10^9</x:f>
        <x:v>0.012034103144999999</x:v>
      </x:c>
    </x:row>
    <x:row r="30" ht="22" customHeight="1">
      <x:c r="A30" s="15" t="str">
        <x:v>Япония</x:v>
      </x:c>
      <x:c r="B30" s="15" t="str">
        <x:v>392_P854233</x:v>
      </x:c>
      <x:c r="C30" s="15" t="str">
        <x:v>Усилители</x:v>
      </x:c>
      <x:c r="D30" s="15" t="str">
        <x:v>392_D608</x:v>
      </x:c>
      <x:c r="E30" s="15" t="str">
        <x:v>Филиппины</x:v>
      </x:c>
      <x:c r="F30" s="19" t="n">
        <x:v>27613817.266</x:v>
      </x:c>
      <x:c r="G30" s="19" t="n">
        <x:f>F30/10^9</x:f>
        <x:v>0.027613817266</x:v>
      </x:c>
    </x:row>
    <x:row r="31" ht="22" customHeight="1">
      <x:c r="A31" s="15" t="str">
        <x:v>Япония</x:v>
      </x:c>
      <x:c r="B31" s="15" t="str">
        <x:v>392_P854233</x:v>
      </x:c>
      <x:c r="C31" s="15" t="str">
        <x:v>Усилители</x:v>
      </x:c>
      <x:c r="D31" s="15" t="str">
        <x:v>392_D842</x:v>
      </x:c>
      <x:c r="E31" s="15" t="str">
        <x:v>США</x:v>
      </x:c>
      <x:c r="F31" s="19" t="n">
        <x:v>25883390.438</x:v>
      </x:c>
      <x:c r="G31" s="19" t="n">
        <x:f>F31/10^9</x:f>
        <x:v>0.025883390438</x:v>
      </x:c>
    </x:row>
    <x:row r="32" ht="22" customHeight="1">
      <x:c r="A32" s="15" t="str">
        <x:v>Япония</x:v>
      </x:c>
      <x:c r="B32" s="15" t="str">
        <x:v>392_P854233</x:v>
      </x:c>
      <x:c r="C32" s="15" t="str">
        <x:v>Усилители</x:v>
      </x:c>
      <x:c r="D32" s="15" t="str">
        <x:v>392_D764</x:v>
      </x:c>
      <x:c r="E32" s="15" t="str">
        <x:v>Таиланд</x:v>
      </x:c>
      <x:c r="F32" s="19" t="n">
        <x:v>18222145.912</x:v>
      </x:c>
      <x:c r="G32" s="19" t="n">
        <x:f>F32/10^9</x:f>
        <x:v>0.018222145912000002</x:v>
      </x:c>
    </x:row>
    <x:row r="33" ht="22" customHeight="1">
      <x:c r="A33" s="15" t="str">
        <x:v>Япония</x:v>
      </x:c>
      <x:c r="B33" s="15" t="str">
        <x:v>392_P854233</x:v>
      </x:c>
      <x:c r="C33" s="15" t="str">
        <x:v>Усилители</x:v>
      </x:c>
      <x:c r="D33" s="15" t="str">
        <x:v>392_D-1</x:v>
      </x:c>
      <x:c r="E33" s="15" t="str">
        <x:v>Остальные направления</x:v>
      </x:c>
      <x:c r="F33" s="19" t="n">
        <x:v>54945075.534</x:v>
      </x:c>
      <x:c r="G33" s="19" t="n">
        <x:f>F33/10^9</x:f>
        <x:v>0.054945075534</x:v>
      </x:c>
    </x:row>
    <x:row r="34" ht="22" customHeight="1">
      <x:c r="A34" s="15" t="str">
        <x:v>Япония</x:v>
      </x:c>
      <x:c r="B34" s="15" t="str">
        <x:v>392_P854239</x:v>
      </x:c>
      <x:c r="C34" s="15" t="str">
        <x:v>Прочие интегральные схемы</x:v>
      </x:c>
      <x:c r="D34" s="15" t="str">
        <x:v>392_D156</x:v>
      </x:c>
      <x:c r="E34" s="15" t="str">
        <x:v>Китай</x:v>
      </x:c>
      <x:c r="F34" s="19" t="n">
        <x:v>1223282540.148</x:v>
      </x:c>
      <x:c r="G34" s="19" t="n">
        <x:f>F34/10^9</x:f>
        <x:v>1.223282540148</x:v>
      </x:c>
    </x:row>
    <x:row r="35" ht="22" customHeight="1">
      <x:c r="A35" s="15" t="str">
        <x:v>Япония</x:v>
      </x:c>
      <x:c r="B35" s="15" t="str">
        <x:v>392_P854239</x:v>
      </x:c>
      <x:c r="C35" s="15" t="str">
        <x:v>Прочие интегральные схемы</x:v>
      </x:c>
      <x:c r="D35" s="15" t="str">
        <x:v>392_D344</x:v>
      </x:c>
      <x:c r="E35" s="15" t="str">
        <x:v>Гонконг</x:v>
      </x:c>
      <x:c r="F35" s="19" t="n">
        <x:v>4514957055.735</x:v>
      </x:c>
      <x:c r="G35" s="19" t="n">
        <x:f>F35/10^9</x:f>
        <x:v>4.514957055735</x:v>
      </x:c>
    </x:row>
    <x:row r="36" ht="22" customHeight="1">
      <x:c r="A36" s="15" t="str">
        <x:v>Япония</x:v>
      </x:c>
      <x:c r="B36" s="15" t="str">
        <x:v>392_P854239</x:v>
      </x:c>
      <x:c r="C36" s="15" t="str">
        <x:v>Прочие интегральные схемы</x:v>
      </x:c>
      <x:c r="D36" s="15" t="str">
        <x:v>392_D490</x:v>
      </x:c>
      <x:c r="E36" s="15" t="str">
        <x:v>Прочая Азия, н.в.д. (490)</x:v>
      </x:c>
      <x:c r="F36" s="19" t="n">
        <x:v>643493857.174</x:v>
      </x:c>
      <x:c r="G36" s="19" t="n">
        <x:f>F36/10^9</x:f>
        <x:v>0.643493857174</x:v>
      </x:c>
    </x:row>
    <x:row r="37" ht="22" customHeight="1">
      <x:c r="A37" s="15" t="str">
        <x:v>Япония</x:v>
      </x:c>
      <x:c r="B37" s="15" t="str">
        <x:v>392_P854239</x:v>
      </x:c>
      <x:c r="C37" s="15" t="str">
        <x:v>Прочие интегральные схемы</x:v>
      </x:c>
      <x:c r="D37" s="15" t="str">
        <x:v>392_D704</x:v>
      </x:c>
      <x:c r="E37" s="15" t="str">
        <x:v>Вьетнам</x:v>
      </x:c>
      <x:c r="F37" s="19" t="n">
        <x:v>2066430092.66</x:v>
      </x:c>
      <x:c r="G37" s="19" t="n">
        <x:f>F37/10^9</x:f>
        <x:v>2.06643009266</x:v>
      </x:c>
    </x:row>
    <x:row r="38" ht="22" customHeight="1">
      <x:c r="A38" s="15" t="str">
        <x:v>Япония</x:v>
      </x:c>
      <x:c r="B38" s="15" t="str">
        <x:v>392_P854239</x:v>
      </x:c>
      <x:c r="C38" s="15" t="str">
        <x:v>Прочие интегральные схемы</x:v>
      </x:c>
      <x:c r="D38" s="15" t="str">
        <x:v>392_D702</x:v>
      </x:c>
      <x:c r="E38" s="15" t="str">
        <x:v>Сингапур</x:v>
      </x:c>
      <x:c r="F38" s="19" t="n">
        <x:v>224540973.772</x:v>
      </x:c>
      <x:c r="G38" s="19" t="n">
        <x:f>F38/10^9</x:f>
        <x:v>0.22454097377200002</x:v>
      </x:c>
    </x:row>
    <x:row r="39" ht="22" customHeight="1">
      <x:c r="A39" s="15" t="str">
        <x:v>Япония</x:v>
      </x:c>
      <x:c r="B39" s="15" t="str">
        <x:v>392_P854239</x:v>
      </x:c>
      <x:c r="C39" s="15" t="str">
        <x:v>Прочие интегральные схемы</x:v>
      </x:c>
      <x:c r="D39" s="15" t="str">
        <x:v>392_D608</x:v>
      </x:c>
      <x:c r="E39" s="15" t="str">
        <x:v>Филиппины</x:v>
      </x:c>
      <x:c r="F39" s="19" t="n">
        <x:v>244887583.31599998</x:v>
      </x:c>
      <x:c r="G39" s="19" t="n">
        <x:f>F39/10^9</x:f>
        <x:v>0.244887583316</x:v>
      </x:c>
    </x:row>
    <x:row r="40" ht="22" customHeight="1">
      <x:c r="A40" s="15" t="str">
        <x:v>Япония</x:v>
      </x:c>
      <x:c r="B40" s="15" t="str">
        <x:v>392_P854239</x:v>
      </x:c>
      <x:c r="C40" s="15" t="str">
        <x:v>Прочие интегральные схемы</x:v>
      </x:c>
      <x:c r="D40" s="15" t="str">
        <x:v>392_D842</x:v>
      </x:c>
      <x:c r="E40" s="15" t="str">
        <x:v>США</x:v>
      </x:c>
      <x:c r="F40" s="19" t="n">
        <x:v>327461309.867</x:v>
      </x:c>
      <x:c r="G40" s="19" t="n">
        <x:f>F40/10^9</x:f>
        <x:v>0.327461309867</x:v>
      </x:c>
    </x:row>
    <x:row r="41" ht="22" customHeight="1">
      <x:c r="A41" s="15" t="str">
        <x:v>Япония</x:v>
      </x:c>
      <x:c r="B41" s="15" t="str">
        <x:v>392_P854239</x:v>
      </x:c>
      <x:c r="C41" s="15" t="str">
        <x:v>Прочие интегральные схемы</x:v>
      </x:c>
      <x:c r="D41" s="15" t="str">
        <x:v>392_D764</x:v>
      </x:c>
      <x:c r="E41" s="15" t="str">
        <x:v>Таиланд</x:v>
      </x:c>
      <x:c r="F41" s="19" t="n">
        <x:v>763856317.86</x:v>
      </x:c>
      <x:c r="G41" s="19" t="n">
        <x:f>F41/10^9</x:f>
        <x:v>0.76385631786</x:v>
      </x:c>
    </x:row>
    <x:row r="42" ht="22" customHeight="1">
      <x:c r="A42" s="15" t="str">
        <x:v>Япония</x:v>
      </x:c>
      <x:c r="B42" s="15" t="str">
        <x:v>392_P854239</x:v>
      </x:c>
      <x:c r="C42" s="15" t="str">
        <x:v>Прочие интегральные схемы</x:v>
      </x:c>
      <x:c r="D42" s="15" t="str">
        <x:v>392_D-1</x:v>
      </x:c>
      <x:c r="E42" s="15" t="str">
        <x:v>Остальные направления</x:v>
      </x:c>
      <x:c r="F42" s="19" t="n">
        <x:v>4225086378.1190004</x:v>
      </x:c>
      <x:c r="G42" s="19" t="n">
        <x:f>F42/10^9</x:f>
        <x:v>4.225086378119</x:v>
      </x:c>
    </x:row>
    <x:row r="43" ht="22" customHeight="1">
      <x:c r="A43" s="15" t="str">
        <x:v>Республика Корея</x:v>
      </x:c>
      <x:c r="B43" s="15" t="str">
        <x:v>410_P854231</x:v>
      </x:c>
      <x:c r="C43" s="15" t="str">
        <x:v>Процессоры и контроллеры</x:v>
      </x:c>
      <x:c r="D43" s="15" t="str">
        <x:v>410_D156</x:v>
      </x:c>
      <x:c r="E43" s="15" t="str">
        <x:v>Китай</x:v>
      </x:c>
      <x:c r="F43" s="19" t="n">
        <x:v>13626756156</x:v>
      </x:c>
      <x:c r="G43" s="19" t="n">
        <x:f>F43/10^9</x:f>
        <x:v>13.626756156</x:v>
      </x:c>
    </x:row>
    <x:row r="44" ht="22" customHeight="1">
      <x:c r="A44" s="15" t="str">
        <x:v>Республика Корея</x:v>
      </x:c>
      <x:c r="B44" s="15" t="str">
        <x:v>410_P854231</x:v>
      </x:c>
      <x:c r="C44" s="15" t="str">
        <x:v>Процессоры и контроллеры</x:v>
      </x:c>
      <x:c r="D44" s="15" t="str">
        <x:v>410_D344</x:v>
      </x:c>
      <x:c r="E44" s="15" t="str">
        <x:v>Гонконг</x:v>
      </x:c>
      <x:c r="F44" s="19" t="n">
        <x:v>2827939582</x:v>
      </x:c>
      <x:c r="G44" s="19" t="n">
        <x:f>F44/10^9</x:f>
        <x:v>2.827939582</x:v>
      </x:c>
    </x:row>
    <x:row r="45" ht="22" customHeight="1">
      <x:c r="A45" s="15" t="str">
        <x:v>Республика Корея</x:v>
      </x:c>
      <x:c r="B45" s="15" t="str">
        <x:v>410_P854231</x:v>
      </x:c>
      <x:c r="C45" s="15" t="str">
        <x:v>Процессоры и контроллеры</x:v>
      </x:c>
      <x:c r="D45" s="15" t="str">
        <x:v>410_D490</x:v>
      </x:c>
      <x:c r="E45" s="15" t="str">
        <x:v>Прочая Азия, н.в.д. (490)</x:v>
      </x:c>
      <x:c r="F45" s="19" t="n">
        <x:v>2693738680</x:v>
      </x:c>
      <x:c r="G45" s="19" t="n">
        <x:f>F45/10^9</x:f>
        <x:v>2.69373868</x:v>
      </x:c>
    </x:row>
    <x:row r="46" ht="22" customHeight="1">
      <x:c r="A46" s="15" t="str">
        <x:v>Республика Корея</x:v>
      </x:c>
      <x:c r="B46" s="15" t="str">
        <x:v>410_P854231</x:v>
      </x:c>
      <x:c r="C46" s="15" t="str">
        <x:v>Процессоры и контроллеры</x:v>
      </x:c>
      <x:c r="D46" s="15" t="str">
        <x:v>410_D704</x:v>
      </x:c>
      <x:c r="E46" s="15" t="str">
        <x:v>Вьетнам</x:v>
      </x:c>
      <x:c r="F46" s="19" t="n">
        <x:v>6787451686</x:v>
      </x:c>
      <x:c r="G46" s="19" t="n">
        <x:f>F46/10^9</x:f>
        <x:v>6.787451686</x:v>
      </x:c>
    </x:row>
    <x:row r="47" ht="22" customHeight="1">
      <x:c r="A47" s="15" t="str">
        <x:v>Республика Корея</x:v>
      </x:c>
      <x:c r="B47" s="15" t="str">
        <x:v>410_P854231</x:v>
      </x:c>
      <x:c r="C47" s="15" t="str">
        <x:v>Процессоры и контроллеры</x:v>
      </x:c>
      <x:c r="D47" s="15" t="str">
        <x:v>410_D702</x:v>
      </x:c>
      <x:c r="E47" s="15" t="str">
        <x:v>Сингапур</x:v>
      </x:c>
      <x:c r="F47" s="19" t="n">
        <x:v>3367413481</x:v>
      </x:c>
      <x:c r="G47" s="19" t="n">
        <x:f>F47/10^9</x:f>
        <x:v>3.367413481</x:v>
      </x:c>
    </x:row>
    <x:row r="48" ht="22" customHeight="1">
      <x:c r="A48" s="15" t="str">
        <x:v>Республика Корея</x:v>
      </x:c>
      <x:c r="B48" s="15" t="str">
        <x:v>410_P854231</x:v>
      </x:c>
      <x:c r="C48" s="15" t="str">
        <x:v>Процессоры и контроллеры</x:v>
      </x:c>
      <x:c r="D48" s="15" t="str">
        <x:v>410_D608</x:v>
      </x:c>
      <x:c r="E48" s="15" t="str">
        <x:v>Филиппины</x:v>
      </x:c>
      <x:c r="F48" s="19" t="n">
        <x:v>583344639</x:v>
      </x:c>
      <x:c r="G48" s="19" t="n">
        <x:f>F48/10^9</x:f>
        <x:v>0.583344639</x:v>
      </x:c>
    </x:row>
    <x:row r="49" ht="22" customHeight="1">
      <x:c r="A49" s="15" t="str">
        <x:v>Республика Корея</x:v>
      </x:c>
      <x:c r="B49" s="15" t="str">
        <x:v>410_P854231</x:v>
      </x:c>
      <x:c r="C49" s="15" t="str">
        <x:v>Процессоры и контроллеры</x:v>
      </x:c>
      <x:c r="D49" s="15" t="str">
        <x:v>410_D842</x:v>
      </x:c>
      <x:c r="E49" s="15" t="str">
        <x:v>США</x:v>
      </x:c>
      <x:c r="F49" s="19" t="n">
        <x:v>1294007832</x:v>
      </x:c>
      <x:c r="G49" s="19" t="n">
        <x:f>F49/10^9</x:f>
        <x:v>1.294007832</x:v>
      </x:c>
    </x:row>
    <x:row r="50" ht="22" customHeight="1">
      <x:c r="A50" s="15" t="str">
        <x:v>Республика Корея</x:v>
      </x:c>
      <x:c r="B50" s="15" t="str">
        <x:v>410_P854231</x:v>
      </x:c>
      <x:c r="C50" s="15" t="str">
        <x:v>Процессоры и контроллеры</x:v>
      </x:c>
      <x:c r="D50" s="15" t="str">
        <x:v>410_D764</x:v>
      </x:c>
      <x:c r="E50" s="15" t="str">
        <x:v>Таиланд</x:v>
      </x:c>
      <x:c r="F50" s="19" t="n">
        <x:v>297302322</x:v>
      </x:c>
      <x:c r="G50" s="19" t="n">
        <x:f>F50/10^9</x:f>
        <x:v>0.297302322</x:v>
      </x:c>
    </x:row>
    <x:row r="51" ht="22" customHeight="1">
      <x:c r="A51" s="15" t="str">
        <x:v>Республика Корея</x:v>
      </x:c>
      <x:c r="B51" s="15" t="str">
        <x:v>410_P854231</x:v>
      </x:c>
      <x:c r="C51" s="15" t="str">
        <x:v>Процессоры и контроллеры</x:v>
      </x:c>
      <x:c r="D51" s="15" t="str">
        <x:v>410_D-1</x:v>
      </x:c>
      <x:c r="E51" s="15" t="str">
        <x:v>Остальные направления</x:v>
      </x:c>
      <x:c r="F51" s="19" t="n">
        <x:v>4367665045</x:v>
      </x:c>
      <x:c r="G51" s="19" t="n">
        <x:f>F51/10^9</x:f>
        <x:v>4.367665045</x:v>
      </x:c>
    </x:row>
    <x:row r="52" ht="22" customHeight="1">
      <x:c r="A52" s="15" t="str">
        <x:v>Республика Корея</x:v>
      </x:c>
      <x:c r="B52" s="15" t="str">
        <x:v>410_P854232</x:v>
      </x:c>
      <x:c r="C52" s="15" t="str">
        <x:v>Память</x:v>
      </x:c>
      <x:c r="D52" s="15" t="str">
        <x:v>410_D156</x:v>
      </x:c>
      <x:c r="E52" s="15" t="str">
        <x:v>Китай</x:v>
      </x:c>
      <x:c r="F52" s="19" t="n">
        <x:v>25815681558</x:v>
      </x:c>
      <x:c r="G52" s="19" t="n">
        <x:f>F52/10^9</x:f>
        <x:v>25.815681558</x:v>
      </x:c>
    </x:row>
    <x:row r="53" ht="22" customHeight="1">
      <x:c r="A53" s="15" t="str">
        <x:v>Республика Корея</x:v>
      </x:c>
      <x:c r="B53" s="15" t="str">
        <x:v>410_P854232</x:v>
      </x:c>
      <x:c r="C53" s="15" t="str">
        <x:v>Память</x:v>
      </x:c>
      <x:c r="D53" s="15" t="str">
        <x:v>410_D344</x:v>
      </x:c>
      <x:c r="E53" s="15" t="str">
        <x:v>Гонконг</x:v>
      </x:c>
      <x:c r="F53" s="19" t="n">
        <x:v>18327359715</x:v>
      </x:c>
      <x:c r="G53" s="19" t="n">
        <x:f>F53/10^9</x:f>
        <x:v>18.327359715</x:v>
      </x:c>
    </x:row>
    <x:row r="54" ht="22" customHeight="1">
      <x:c r="A54" s="15" t="str">
        <x:v>Республика Корея</x:v>
      </x:c>
      <x:c r="B54" s="15" t="str">
        <x:v>410_P854232</x:v>
      </x:c>
      <x:c r="C54" s="15" t="str">
        <x:v>Память</x:v>
      </x:c>
      <x:c r="D54" s="15" t="str">
        <x:v>410_D490</x:v>
      </x:c>
      <x:c r="E54" s="15" t="str">
        <x:v>Прочая Азия, н.в.д. (490)</x:v>
      </x:c>
      <x:c r="F54" s="19" t="n">
        <x:v>14460368519</x:v>
      </x:c>
      <x:c r="G54" s="19" t="n">
        <x:f>F54/10^9</x:f>
        <x:v>14.460368519</x:v>
      </x:c>
    </x:row>
    <x:row r="55" ht="22" customHeight="1">
      <x:c r="A55" s="15" t="str">
        <x:v>Республика Корея</x:v>
      </x:c>
      <x:c r="B55" s="15" t="str">
        <x:v>410_P854232</x:v>
      </x:c>
      <x:c r="C55" s="15" t="str">
        <x:v>Память</x:v>
      </x:c>
      <x:c r="D55" s="15" t="str">
        <x:v>410_D704</x:v>
      </x:c>
      <x:c r="E55" s="15" t="str">
        <x:v>Вьетнам</x:v>
      </x:c>
      <x:c r="F55" s="19" t="n">
        <x:v>7448646843</x:v>
      </x:c>
      <x:c r="G55" s="19" t="n">
        <x:f>F55/10^9</x:f>
        <x:v>7.448646843</x:v>
      </x:c>
    </x:row>
    <x:row r="56" ht="22" customHeight="1">
      <x:c r="A56" s="15" t="str">
        <x:v>Республика Корея</x:v>
      </x:c>
      <x:c r="B56" s="15" t="str">
        <x:v>410_P854232</x:v>
      </x:c>
      <x:c r="C56" s="15" t="str">
        <x:v>Память</x:v>
      </x:c>
      <x:c r="D56" s="15" t="str">
        <x:v>410_D702</x:v>
      </x:c>
      <x:c r="E56" s="15" t="str">
        <x:v>Сингапур</x:v>
      </x:c>
      <x:c r="F56" s="19" t="n">
        <x:v>317642922</x:v>
      </x:c>
      <x:c r="G56" s="19" t="n">
        <x:f>F56/10^9</x:f>
        <x:v>0.317642922</x:v>
      </x:c>
    </x:row>
    <x:row r="57" ht="22" customHeight="1">
      <x:c r="A57" s="15" t="str">
        <x:v>Республика Корея</x:v>
      </x:c>
      <x:c r="B57" s="15" t="str">
        <x:v>410_P854232</x:v>
      </x:c>
      <x:c r="C57" s="15" t="str">
        <x:v>Память</x:v>
      </x:c>
      <x:c r="D57" s="15" t="str">
        <x:v>410_D608</x:v>
      </x:c>
      <x:c r="E57" s="15" t="str">
        <x:v>Филиппины</x:v>
      </x:c>
      <x:c r="F57" s="19" t="n">
        <x:v>1123418771</x:v>
      </x:c>
      <x:c r="G57" s="19" t="n">
        <x:f>F57/10^9</x:f>
        <x:v>1.123418771</x:v>
      </x:c>
    </x:row>
    <x:row r="58" ht="22" customHeight="1">
      <x:c r="A58" s="15" t="str">
        <x:v>Республика Корея</x:v>
      </x:c>
      <x:c r="B58" s="15" t="str">
        <x:v>410_P854232</x:v>
      </x:c>
      <x:c r="C58" s="15" t="str">
        <x:v>Память</x:v>
      </x:c>
      <x:c r="D58" s="15" t="str">
        <x:v>410_D842</x:v>
      </x:c>
      <x:c r="E58" s="15" t="str">
        <x:v>США</x:v>
      </x:c>
      <x:c r="F58" s="19" t="n">
        <x:v>305417685</x:v>
      </x:c>
      <x:c r="G58" s="19" t="n">
        <x:f>F58/10^9</x:f>
        <x:v>0.305417685</x:v>
      </x:c>
    </x:row>
    <x:row r="59" ht="22" customHeight="1">
      <x:c r="A59" s="15" t="str">
        <x:v>Республика Корея</x:v>
      </x:c>
      <x:c r="B59" s="15" t="str">
        <x:v>410_P854232</x:v>
      </x:c>
      <x:c r="C59" s="15" t="str">
        <x:v>Память</x:v>
      </x:c>
      <x:c r="D59" s="15" t="str">
        <x:v>410_D764</x:v>
      </x:c>
      <x:c r="E59" s="15" t="str">
        <x:v>Таиланд</x:v>
      </x:c>
      <x:c r="F59" s="19" t="n">
        <x:v>151023262</x:v>
      </x:c>
      <x:c r="G59" s="19" t="n">
        <x:f>F59/10^9</x:f>
        <x:v>0.151023262</x:v>
      </x:c>
    </x:row>
    <x:row r="60" ht="22" customHeight="1">
      <x:c r="A60" s="15" t="str">
        <x:v>Республика Корея</x:v>
      </x:c>
      <x:c r="B60" s="15" t="str">
        <x:v>410_P854232</x:v>
      </x:c>
      <x:c r="C60" s="15" t="str">
        <x:v>Память</x:v>
      </x:c>
      <x:c r="D60" s="15" t="str">
        <x:v>410_D-1</x:v>
      </x:c>
      <x:c r="E60" s="15" t="str">
        <x:v>Остальные направления</x:v>
      </x:c>
      <x:c r="F60" s="19" t="n">
        <x:v>4070144492</x:v>
      </x:c>
      <x:c r="G60" s="19" t="n">
        <x:f>F60/10^9</x:f>
        <x:v>4.070144492</x:v>
      </x:c>
    </x:row>
    <x:row r="61" ht="22" customHeight="1">
      <x:c r="A61" s="15" t="str">
        <x:v>Республика Корея</x:v>
      </x:c>
      <x:c r="B61" s="15" t="str">
        <x:v>410_P854233</x:v>
      </x:c>
      <x:c r="C61" s="15" t="str">
        <x:v>Усилители</x:v>
      </x:c>
      <x:c r="D61" s="15" t="str">
        <x:v>410_D156</x:v>
      </x:c>
      <x:c r="E61" s="15" t="str">
        <x:v>Китай</x:v>
      </x:c>
      <x:c r="F61" s="19" t="n">
        <x:v>6908038</x:v>
      </x:c>
      <x:c r="G61" s="19" t="n">
        <x:f>F61/10^9</x:f>
        <x:v>0.006908038</x:v>
      </x:c>
    </x:row>
    <x:row r="62" ht="22" customHeight="1">
      <x:c r="A62" s="15" t="str">
        <x:v>Республика Корея</x:v>
      </x:c>
      <x:c r="B62" s="15" t="str">
        <x:v>410_P854233</x:v>
      </x:c>
      <x:c r="C62" s="15" t="str">
        <x:v>Усилители</x:v>
      </x:c>
      <x:c r="D62" s="15" t="str">
        <x:v>410_D344</x:v>
      </x:c>
      <x:c r="E62" s="15" t="str">
        <x:v>Гонконг</x:v>
      </x:c>
      <x:c r="F62" s="19" t="n">
        <x:v>19113337</x:v>
      </x:c>
      <x:c r="G62" s="19" t="n">
        <x:f>F62/10^9</x:f>
        <x:v>0.019113337</x:v>
      </x:c>
    </x:row>
    <x:row r="63" ht="22" customHeight="1">
      <x:c r="A63" s="15" t="str">
        <x:v>Республика Корея</x:v>
      </x:c>
      <x:c r="B63" s="15" t="str">
        <x:v>410_P854233</x:v>
      </x:c>
      <x:c r="C63" s="15" t="str">
        <x:v>Усилители</x:v>
      </x:c>
      <x:c r="D63" s="15" t="str">
        <x:v>410_D490</x:v>
      </x:c>
      <x:c r="E63" s="15" t="str">
        <x:v>Прочая Азия, н.в.д. (490)</x:v>
      </x:c>
      <x:c r="F63" s="19" t="n">
        <x:v>1438515</x:v>
      </x:c>
      <x:c r="G63" s="19" t="n">
        <x:f>F63/10^9</x:f>
        <x:v>0.001438515</x:v>
      </x:c>
    </x:row>
    <x:row r="64" ht="22" customHeight="1">
      <x:c r="A64" s="15" t="str">
        <x:v>Республика Корея</x:v>
      </x:c>
      <x:c r="B64" s="15" t="str">
        <x:v>410_P854233</x:v>
      </x:c>
      <x:c r="C64" s="15" t="str">
        <x:v>Усилители</x:v>
      </x:c>
      <x:c r="D64" s="15" t="str">
        <x:v>410_D704</x:v>
      </x:c>
      <x:c r="E64" s="15" t="str">
        <x:v>Вьетнам</x:v>
      </x:c>
      <x:c r="F64" s="19" t="n">
        <x:v>124636835</x:v>
      </x:c>
      <x:c r="G64" s="19" t="n">
        <x:f>F64/10^9</x:f>
        <x:v>0.124636835</x:v>
      </x:c>
    </x:row>
    <x:row r="65" ht="22" customHeight="1">
      <x:c r="A65" s="15" t="str">
        <x:v>Республика Корея</x:v>
      </x:c>
      <x:c r="B65" s="15" t="str">
        <x:v>410_P854233</x:v>
      </x:c>
      <x:c r="C65" s="15" t="str">
        <x:v>Усилители</x:v>
      </x:c>
      <x:c r="D65" s="15" t="str">
        <x:v>410_D702</x:v>
      </x:c>
      <x:c r="E65" s="15" t="str">
        <x:v>Сингапур</x:v>
      </x:c>
      <x:c r="F65" s="19" t="n">
        <x:v>958465</x:v>
      </x:c>
      <x:c r="G65" s="19" t="n">
        <x:f>F65/10^9</x:f>
        <x:v>0.000958465</x:v>
      </x:c>
    </x:row>
    <x:row r="66" ht="22" customHeight="1">
      <x:c r="A66" s="15" t="str">
        <x:v>Республика Корея</x:v>
      </x:c>
      <x:c r="B66" s="15" t="str">
        <x:v>410_P854233</x:v>
      </x:c>
      <x:c r="C66" s="15" t="str">
        <x:v>Усилители</x:v>
      </x:c>
      <x:c r="D66" s="15" t="str">
        <x:v>410_D608</x:v>
      </x:c>
      <x:c r="E66" s="15" t="str">
        <x:v>Филиппины</x:v>
      </x:c>
      <x:c r="F66" s="19" t="n">
        <x:v>313655</x:v>
      </x:c>
      <x:c r="G66" s="19" t="n">
        <x:f>F66/10^9</x:f>
        <x:v>0.000313655</x:v>
      </x:c>
    </x:row>
    <x:row r="67" ht="22" customHeight="1">
      <x:c r="A67" s="15" t="str">
        <x:v>Республика Корея</x:v>
      </x:c>
      <x:c r="B67" s="15" t="str">
        <x:v>410_P854233</x:v>
      </x:c>
      <x:c r="C67" s="15" t="str">
        <x:v>Усилители</x:v>
      </x:c>
      <x:c r="D67" s="15" t="str">
        <x:v>410_D842</x:v>
      </x:c>
      <x:c r="E67" s="15" t="str">
        <x:v>США</x:v>
      </x:c>
      <x:c r="F67" s="19" t="n">
        <x:v>1493455</x:v>
      </x:c>
      <x:c r="G67" s="19" t="n">
        <x:f>F67/10^9</x:f>
        <x:v>0.001493455</x:v>
      </x:c>
    </x:row>
    <x:row r="68" ht="22" customHeight="1">
      <x:c r="A68" s="15" t="str">
        <x:v>Республика Корея</x:v>
      </x:c>
      <x:c r="B68" s="15" t="str">
        <x:v>410_P854233</x:v>
      </x:c>
      <x:c r="C68" s="15" t="str">
        <x:v>Усилители</x:v>
      </x:c>
      <x:c r="D68" s="15" t="str">
        <x:v>410_D764</x:v>
      </x:c>
      <x:c r="E68" s="15" t="str">
        <x:v>Таиланд</x:v>
      </x:c>
      <x:c r="F68" s="19" t="n">
        <x:v>607304</x:v>
      </x:c>
      <x:c r="G68" s="19" t="n">
        <x:f>F68/10^9</x:f>
        <x:v>0.000607304</x:v>
      </x:c>
    </x:row>
    <x:row r="69" ht="22" customHeight="1">
      <x:c r="A69" s="15" t="str">
        <x:v>Республика Корея</x:v>
      </x:c>
      <x:c r="B69" s="15" t="str">
        <x:v>410_P854233</x:v>
      </x:c>
      <x:c r="C69" s="15" t="str">
        <x:v>Усилители</x:v>
      </x:c>
      <x:c r="D69" s="15" t="str">
        <x:v>410_D-1</x:v>
      </x:c>
      <x:c r="E69" s="15" t="str">
        <x:v>Остальные направления</x:v>
      </x:c>
      <x:c r="F69" s="19" t="n">
        <x:v>72115872</x:v>
      </x:c>
      <x:c r="G69" s="19" t="n">
        <x:f>F69/10^9</x:f>
        <x:v>0.072115872</x:v>
      </x:c>
    </x:row>
    <x:row r="70" ht="22" customHeight="1">
      <x:c r="A70" s="15" t="str">
        <x:v>Республика Корея</x:v>
      </x:c>
      <x:c r="B70" s="15" t="str">
        <x:v>410_P854239</x:v>
      </x:c>
      <x:c r="C70" s="15" t="str">
        <x:v>Прочие интегральные схемы</x:v>
      </x:c>
      <x:c r="D70" s="15" t="str">
        <x:v>410_D156</x:v>
      </x:c>
      <x:c r="E70" s="15" t="str">
        <x:v>Китай</x:v>
      </x:c>
      <x:c r="F70" s="19" t="n">
        <x:v>2717945343</x:v>
      </x:c>
      <x:c r="G70" s="19" t="n">
        <x:f>F70/10^9</x:f>
        <x:v>2.717945343</x:v>
      </x:c>
    </x:row>
    <x:row r="71" ht="22" customHeight="1">
      <x:c r="A71" s="15" t="str">
        <x:v>Республика Корея</x:v>
      </x:c>
      <x:c r="B71" s="15" t="str">
        <x:v>410_P854239</x:v>
      </x:c>
      <x:c r="C71" s="15" t="str">
        <x:v>Прочие интегральные схемы</x:v>
      </x:c>
      <x:c r="D71" s="15" t="str">
        <x:v>410_D344</x:v>
      </x:c>
      <x:c r="E71" s="15" t="str">
        <x:v>Гонконг</x:v>
      </x:c>
      <x:c r="F71" s="19" t="n">
        <x:v>2128965013</x:v>
      </x:c>
      <x:c r="G71" s="19" t="n">
        <x:f>F71/10^9</x:f>
        <x:v>2.128965013</x:v>
      </x:c>
    </x:row>
    <x:row r="72" ht="22" customHeight="1">
      <x:c r="A72" s="15" t="str">
        <x:v>Республика Корея</x:v>
      </x:c>
      <x:c r="B72" s="15" t="str">
        <x:v>410_P854239</x:v>
      </x:c>
      <x:c r="C72" s="15" t="str">
        <x:v>Прочие интегральные схемы</x:v>
      </x:c>
      <x:c r="D72" s="15" t="str">
        <x:v>410_D490</x:v>
      </x:c>
      <x:c r="E72" s="15" t="str">
        <x:v>Прочая Азия, н.в.д. (490)</x:v>
      </x:c>
      <x:c r="F72" s="19" t="n">
        <x:v>3332619410</x:v>
      </x:c>
      <x:c r="G72" s="19" t="n">
        <x:f>F72/10^9</x:f>
        <x:v>3.33261941</x:v>
      </x:c>
    </x:row>
    <x:row r="73" ht="22" customHeight="1">
      <x:c r="A73" s="15" t="str">
        <x:v>Республика Корея</x:v>
      </x:c>
      <x:c r="B73" s="15" t="str">
        <x:v>410_P854239</x:v>
      </x:c>
      <x:c r="C73" s="15" t="str">
        <x:v>Прочие интегральные схемы</x:v>
      </x:c>
      <x:c r="D73" s="15" t="str">
        <x:v>410_D704</x:v>
      </x:c>
      <x:c r="E73" s="15" t="str">
        <x:v>Вьетнам</x:v>
      </x:c>
      <x:c r="F73" s="19" t="n">
        <x:v>2217073162</x:v>
      </x:c>
      <x:c r="G73" s="19" t="n">
        <x:f>F73/10^9</x:f>
        <x:v>2.217073162</x:v>
      </x:c>
    </x:row>
    <x:row r="74" ht="22" customHeight="1">
      <x:c r="A74" s="15" t="str">
        <x:v>Республика Корея</x:v>
      </x:c>
      <x:c r="B74" s="15" t="str">
        <x:v>410_P854239</x:v>
      </x:c>
      <x:c r="C74" s="15" t="str">
        <x:v>Прочие интегральные схемы</x:v>
      </x:c>
      <x:c r="D74" s="15" t="str">
        <x:v>410_D702</x:v>
      </x:c>
      <x:c r="E74" s="15" t="str">
        <x:v>Сингапур</x:v>
      </x:c>
      <x:c r="F74" s="19" t="n">
        <x:v>89580430</x:v>
      </x:c>
      <x:c r="G74" s="19" t="n">
        <x:f>F74/10^9</x:f>
        <x:v>0.08958043</x:v>
      </x:c>
    </x:row>
    <x:row r="75" ht="22" customHeight="1">
      <x:c r="A75" s="15" t="str">
        <x:v>Республика Корея</x:v>
      </x:c>
      <x:c r="B75" s="15" t="str">
        <x:v>410_P854239</x:v>
      </x:c>
      <x:c r="C75" s="15" t="str">
        <x:v>Прочие интегральные схемы</x:v>
      </x:c>
      <x:c r="D75" s="15" t="str">
        <x:v>410_D608</x:v>
      </x:c>
      <x:c r="E75" s="15" t="str">
        <x:v>Филиппины</x:v>
      </x:c>
      <x:c r="F75" s="19" t="n">
        <x:v>76243518</x:v>
      </x:c>
      <x:c r="G75" s="19" t="n">
        <x:f>F75/10^9</x:f>
        <x:v>0.076243518</x:v>
      </x:c>
    </x:row>
    <x:row r="76" ht="22" customHeight="1">
      <x:c r="A76" s="15" t="str">
        <x:v>Республика Корея</x:v>
      </x:c>
      <x:c r="B76" s="15" t="str">
        <x:v>410_P854239</x:v>
      </x:c>
      <x:c r="C76" s="15" t="str">
        <x:v>Прочие интегральные схемы</x:v>
      </x:c>
      <x:c r="D76" s="15" t="str">
        <x:v>410_D842</x:v>
      </x:c>
      <x:c r="E76" s="15" t="str">
        <x:v>США</x:v>
      </x:c>
      <x:c r="F76" s="19" t="n">
        <x:v>40726994</x:v>
      </x:c>
      <x:c r="G76" s="19" t="n">
        <x:f>F76/10^9</x:f>
        <x:v>0.040726994</x:v>
      </x:c>
    </x:row>
    <x:row r="77" ht="22" customHeight="1">
      <x:c r="A77" s="15" t="str">
        <x:v>Республика Корея</x:v>
      </x:c>
      <x:c r="B77" s="15" t="str">
        <x:v>410_P854239</x:v>
      </x:c>
      <x:c r="C77" s="15" t="str">
        <x:v>Прочие интегральные схемы</x:v>
      </x:c>
      <x:c r="D77" s="15" t="str">
        <x:v>410_D764</x:v>
      </x:c>
      <x:c r="E77" s="15" t="str">
        <x:v>Таиланд</x:v>
      </x:c>
      <x:c r="F77" s="19" t="n">
        <x:v>210878771</x:v>
      </x:c>
      <x:c r="G77" s="19" t="n">
        <x:f>F77/10^9</x:f>
        <x:v>0.210878771</x:v>
      </x:c>
    </x:row>
    <x:row r="78" ht="22" customHeight="1">
      <x:c r="A78" s="15" t="str">
        <x:v>Республика Корея</x:v>
      </x:c>
      <x:c r="B78" s="15" t="str">
        <x:v>410_P854239</x:v>
      </x:c>
      <x:c r="C78" s="15" t="str">
        <x:v>Прочие интегральные схемы</x:v>
      </x:c>
      <x:c r="D78" s="15" t="str">
        <x:v>410_D-1</x:v>
      </x:c>
      <x:c r="E78" s="15" t="str">
        <x:v>Остальные направления</x:v>
      </x:c>
      <x:c r="F78" s="19" t="n">
        <x:v>913056994</x:v>
      </x:c>
      <x:c r="G78" s="19" t="n">
        <x:f>F78/10^9</x:f>
        <x:v>0.913056994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2" hidden="0" customWidth="1"/>
    <x:col min="3" max="3" width="15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19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4" t="str">
        <x:v>Приложение Д. Интервалы при блоках 6 и 12 месяцев</x:v>
      </x:c>
      <x:c r="B2" s="5"/>
      <x:c r="C2" s="5"/>
      <x:c r="D2" s="5"/>
      <x:c r="E2" s="5"/>
      <x:c r="F2" s="5"/>
      <x:c r="G2" s="5"/>
      <x:c r="H2" s="5"/>
    </x:row>
    <x:row r="3" ht="22" customHeight="1">
      <x:c r="A3" s="6" t="str">
        <x:v>1999 повторений. 95% интервалы. SD измеряется в п.п., дисперсия и вклады — в п.п.²; панели разделять по единицам.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7" t="str">
        <x:v>Источник: S01</x:v>
      </x:c>
      <x:c r="B4" s="2"/>
      <x:c r="C4" s="2"/>
      <x:c r="D4" s="2"/>
      <x:c r="E4" s="2"/>
      <x:c r="F4" s="2"/>
      <x:c r="G4" s="2"/>
      <x:c r="H4" s="2"/>
    </x:row>
    <x:row r="5" ht="26" customHeight="1">
      <x:c r="A5" s="8" t="str">
        <x:v>Интервалы</x:v>
      </x:c>
      <x:c r="B5" s="2"/>
      <x:c r="C5" s="2"/>
      <x:c r="D5" s="2"/>
      <x:c r="E5" s="2"/>
      <x:c r="F5" s="2"/>
      <x:c r="G5" s="2"/>
      <x:c r="H5" s="2"/>
    </x:row>
    <x:row r="6" ht="36" customHeight="1">
      <x:c r="A6" s="13" t="str">
        <x:v>Страна</x:v>
      </x:c>
      <x:c r="B6" s="13" t="str">
        <x:v>Показатель</x:v>
      </x:c>
      <x:c r="C6" s="13" t="str">
        <x:v>Единица</x:v>
      </x:c>
      <x:c r="D6" s="13" t="str">
        <x:v>Блок, месяцев</x:v>
      </x:c>
      <x:c r="E6" s="13" t="str">
        <x:v>Оценка</x:v>
      </x:c>
      <x:c r="F6" s="13" t="str">
        <x:v>Нижняя 95%</x:v>
      </x:c>
      <x:c r="G6" s="13" t="str">
        <x:v>Верхняя 95%</x:v>
      </x:c>
      <x:c r="H6" s="13" t="str">
        <x:v>Повторений</x:v>
      </x:c>
    </x:row>
    <x:row r="7" ht="22" customHeight="1">
      <x:c r="A7" s="15" t="str">
        <x:v>Япония</x:v>
      </x:c>
      <x:c r="B7" s="15" t="str">
        <x:v>Изменение дисперсии</x:v>
      </x:c>
      <x:c r="C7" s="15" t="str">
        <x:v>п.п.²</x:v>
      </x:c>
      <x:c r="D7" s="18" t="n">
        <x:v>12</x:v>
      </x:c>
      <x:c r="E7" s="19" t="n">
        <x:v>-5.245284378319407</x:v>
      </x:c>
      <x:c r="F7" s="19" t="n">
        <x:v>-24.5614954159377</x:v>
      </x:c>
      <x:c r="G7" s="19" t="n">
        <x:v>16.91982781296865</x:v>
      </x:c>
      <x:c r="H7" s="18" t="n">
        <x:v>1999</x:v>
      </x:c>
    </x:row>
    <x:row r="8" ht="22" customHeight="1">
      <x:c r="A8" s="15" t="str">
        <x:v>Япония</x:v>
      </x:c>
      <x:c r="B8" s="15" t="str">
        <x:v>Товарный вклад</x:v>
      </x:c>
      <x:c r="C8" s="15" t="str">
        <x:v>п.п.²</x:v>
      </x:c>
      <x:c r="D8" s="18" t="n">
        <x:v>12</x:v>
      </x:c>
      <x:c r="E8" s="19" t="n">
        <x:v>5.168507582394809</x:v>
      </x:c>
      <x:c r="F8" s="19" t="n">
        <x:v>-4.305722746126957</x:v>
      </x:c>
      <x:c r="G8" s="19" t="n">
        <x:v>14.191286095546516</x:v>
      </x:c>
      <x:c r="H8" s="18" t="n">
        <x:v>1999</x:v>
      </x:c>
    </x:row>
    <x:row r="9" ht="22" customHeight="1">
      <x:c r="A9" s="15" t="str">
        <x:v>Япония</x:v>
      </x:c>
      <x:c r="B9" s="15" t="str">
        <x:v>Географический вклад</x:v>
      </x:c>
      <x:c r="C9" s="15" t="str">
        <x:v>п.п.²</x:v>
      </x:c>
      <x:c r="D9" s="18" t="n">
        <x:v>12</x:v>
      </x:c>
      <x:c r="E9" s="19" t="n">
        <x:v>-10.413791960714216</x:v>
      </x:c>
      <x:c r="F9" s="19" t="n">
        <x:v>-23.766150773693447</x:v>
      </x:c>
      <x:c r="G9" s="19" t="n">
        <x:v>5.209416906067287</x:v>
      </x:c>
      <x:c r="H9" s="18" t="n">
        <x:v>1999</x:v>
      </x:c>
    </x:row>
    <x:row r="10" ht="22" customHeight="1">
      <x:c r="A10" s="15" t="str">
        <x:v>Япония</x:v>
      </x:c>
      <x:c r="B10" s="15" t="str">
        <x:v>Изменение SD</x:v>
      </x:c>
      <x:c r="C10" s="15" t="str">
        <x:v>п.п.</x:v>
      </x:c>
      <x:c r="D10" s="18" t="n">
        <x:v>12</x:v>
      </x:c>
      <x:c r="E10" s="19" t="n">
        <x:v>-0.264801543341206</x:v>
      </x:c>
      <x:c r="F10" s="19" t="n">
        <x:v>-1.271826411777335</x:v>
      </x:c>
      <x:c r="G10" s="19" t="n">
        <x:v>0.885975655966609</x:v>
      </x:c>
      <x:c r="H10" s="18" t="n">
        <x:v>1999</x:v>
      </x:c>
    </x:row>
    <x:row r="11" ht="22" customHeight="1">
      <x:c r="A11" s="15" t="str">
        <x:v>Япония</x:v>
      </x:c>
      <x:c r="B11" s="15" t="str">
        <x:v>Изменение дисперсии</x:v>
      </x:c>
      <x:c r="C11" s="15" t="str">
        <x:v>п.п.²</x:v>
      </x:c>
      <x:c r="D11" s="18" t="n">
        <x:v>6</x:v>
      </x:c>
      <x:c r="E11" s="19" t="n">
        <x:v>-5.245284378319407</x:v>
      </x:c>
      <x:c r="F11" s="19" t="n">
        <x:v>-25.17789143503948</x:v>
      </x:c>
      <x:c r="G11" s="19" t="n">
        <x:v>15.572939840150337</x:v>
      </x:c>
      <x:c r="H11" s="18" t="n">
        <x:v>1999</x:v>
      </x:c>
    </x:row>
    <x:row r="12" ht="22" customHeight="1">
      <x:c r="A12" s="15" t="str">
        <x:v>Япония</x:v>
      </x:c>
      <x:c r="B12" s="15" t="str">
        <x:v>Товарный вклад</x:v>
      </x:c>
      <x:c r="C12" s="15" t="str">
        <x:v>п.п.²</x:v>
      </x:c>
      <x:c r="D12" s="18" t="n">
        <x:v>6</x:v>
      </x:c>
      <x:c r="E12" s="19" t="n">
        <x:v>5.168507582394809</x:v>
      </x:c>
      <x:c r="F12" s="19" t="n">
        <x:v>-3.32193898823597</x:v>
      </x:c>
      <x:c r="G12" s="19" t="n">
        <x:v>13.475057562104428</x:v>
      </x:c>
      <x:c r="H12" s="18" t="n">
        <x:v>1999</x:v>
      </x:c>
    </x:row>
    <x:row r="13" ht="22" customHeight="1">
      <x:c r="A13" s="15" t="str">
        <x:v>Япония</x:v>
      </x:c>
      <x:c r="B13" s="15" t="str">
        <x:v>Географический вклад</x:v>
      </x:c>
      <x:c r="C13" s="15" t="str">
        <x:v>п.п.²</x:v>
      </x:c>
      <x:c r="D13" s="18" t="n">
        <x:v>6</x:v>
      </x:c>
      <x:c r="E13" s="19" t="n">
        <x:v>-10.413791960714216</x:v>
      </x:c>
      <x:c r="F13" s="19" t="n">
        <x:v>-25.565267693453297</x:v>
      </x:c>
      <x:c r="G13" s="19" t="n">
        <x:v>5.598467695016912</x:v>
      </x:c>
      <x:c r="H13" s="18" t="n">
        <x:v>1999</x:v>
      </x:c>
    </x:row>
    <x:row r="14" ht="22" customHeight="1">
      <x:c r="A14" s="15" t="str">
        <x:v>Япония</x:v>
      </x:c>
      <x:c r="B14" s="15" t="str">
        <x:v>Изменение SD</x:v>
      </x:c>
      <x:c r="C14" s="15" t="str">
        <x:v>п.п.</x:v>
      </x:c>
      <x:c r="D14" s="18" t="n">
        <x:v>6</x:v>
      </x:c>
      <x:c r="E14" s="19" t="n">
        <x:v>-0.264801543341206</x:v>
      </x:c>
      <x:c r="F14" s="19" t="n">
        <x:v>-1.277126797736733</x:v>
      </x:c>
      <x:c r="G14" s="19" t="n">
        <x:v>0.791655626167555</x:v>
      </x:c>
      <x:c r="H14" s="18" t="n">
        <x:v>1999</x:v>
      </x:c>
    </x:row>
    <x:row r="15" ht="22" customHeight="1">
      <x:c r="A15" s="15" t="str">
        <x:v>Республика Корея</x:v>
      </x:c>
      <x:c r="B15" s="15" t="str">
        <x:v>Изменение дисперсии</x:v>
      </x:c>
      <x:c r="C15" s="15" t="str">
        <x:v>п.п.²</x:v>
      </x:c>
      <x:c r="D15" s="18" t="n">
        <x:v>12</x:v>
      </x:c>
      <x:c r="E15" s="19" t="n">
        <x:v>-74.07794296551722</x:v>
      </x:c>
      <x:c r="F15" s="19" t="n">
        <x:v>-172.7512904639105</x:v>
      </x:c>
      <x:c r="G15" s="19" t="n">
        <x:v>21.560415465871756</x:v>
      </x:c>
      <x:c r="H15" s="18" t="n">
        <x:v>1999</x:v>
      </x:c>
    </x:row>
    <x:row r="16" ht="22" customHeight="1">
      <x:c r="A16" s="15" t="str">
        <x:v>Республика Корея</x:v>
      </x:c>
      <x:c r="B16" s="15" t="str">
        <x:v>Товарный вклад</x:v>
      </x:c>
      <x:c r="C16" s="15" t="str">
        <x:v>п.п.²</x:v>
      </x:c>
      <x:c r="D16" s="18" t="n">
        <x:v>12</x:v>
      </x:c>
      <x:c r="E16" s="19" t="n">
        <x:v>-172.91657099893374</x:v>
      </x:c>
      <x:c r="F16" s="19" t="n">
        <x:v>-241.2330757278984</x:v>
      </x:c>
      <x:c r="G16" s="19" t="n">
        <x:v>-67.53707961281809</x:v>
      </x:c>
      <x:c r="H16" s="18" t="n">
        <x:v>1999</x:v>
      </x:c>
    </x:row>
    <x:row r="17" ht="22" customHeight="1">
      <x:c r="A17" s="15" t="str">
        <x:v>Республика Корея</x:v>
      </x:c>
      <x:c r="B17" s="15" t="str">
        <x:v>Географический вклад</x:v>
      </x:c>
      <x:c r="C17" s="15" t="str">
        <x:v>п.п.²</x:v>
      </x:c>
      <x:c r="D17" s="18" t="n">
        <x:v>12</x:v>
      </x:c>
      <x:c r="E17" s="19" t="n">
        <x:v>98.8386280334165</x:v>
      </x:c>
      <x:c r="F17" s="19" t="n">
        <x:v>-1.670893314513437</x:v>
      </x:c>
      <x:c r="G17" s="19" t="n">
        <x:v>168.51539061577097</x:v>
      </x:c>
      <x:c r="H17" s="18" t="n">
        <x:v>1999</x:v>
      </x:c>
    </x:row>
    <x:row r="18" ht="22" customHeight="1">
      <x:c r="A18" s="15" t="str">
        <x:v>Республика Корея</x:v>
      </x:c>
      <x:c r="B18" s="15" t="str">
        <x:v>Изменение SD</x:v>
      </x:c>
      <x:c r="C18" s="15" t="str">
        <x:v>п.п.</x:v>
      </x:c>
      <x:c r="D18" s="18" t="n">
        <x:v>12</x:v>
      </x:c>
      <x:c r="E18" s="19" t="n">
        <x:v>-1.267653688345238</x:v>
      </x:c>
      <x:c r="F18" s="19" t="n">
        <x:v>-2.998739557989044</x:v>
      </x:c>
      <x:c r="G18" s="19" t="n">
        <x:v>0.423493797559147</x:v>
      </x:c>
      <x:c r="H18" s="18" t="n">
        <x:v>1999</x:v>
      </x:c>
    </x:row>
    <x:row r="19" ht="22" customHeight="1">
      <x:c r="A19" s="15" t="str">
        <x:v>Республика Корея</x:v>
      </x:c>
      <x:c r="B19" s="15" t="str">
        <x:v>Изменение дисперсии</x:v>
      </x:c>
      <x:c r="C19" s="15" t="str">
        <x:v>п.п.²</x:v>
      </x:c>
      <x:c r="D19" s="18" t="n">
        <x:v>6</x:v>
      </x:c>
      <x:c r="E19" s="19" t="n">
        <x:v>-74.07794296551722</x:v>
      </x:c>
      <x:c r="F19" s="19" t="n">
        <x:v>-183.83680818078727</x:v>
      </x:c>
      <x:c r="G19" s="19" t="n">
        <x:v>37.07351766517419</x:v>
      </x:c>
      <x:c r="H19" s="18" t="n">
        <x:v>1999</x:v>
      </x:c>
    </x:row>
    <x:row r="20" ht="22" customHeight="1">
      <x:c r="A20" s="15" t="str">
        <x:v>Республика Корея</x:v>
      </x:c>
      <x:c r="B20" s="15" t="str">
        <x:v>Товарный вклад</x:v>
      </x:c>
      <x:c r="C20" s="15" t="str">
        <x:v>п.п.²</x:v>
      </x:c>
      <x:c r="D20" s="18" t="n">
        <x:v>6</x:v>
      </x:c>
      <x:c r="E20" s="19" t="n">
        <x:v>-172.91657099893374</x:v>
      </x:c>
      <x:c r="F20" s="19" t="n">
        <x:v>-242.77363198923663</x:v>
      </x:c>
      <x:c r="G20" s="19" t="n">
        <x:v>-84.03758106772553</x:v>
      </x:c>
      <x:c r="H20" s="18" t="n">
        <x:v>1999</x:v>
      </x:c>
    </x:row>
    <x:row r="21" ht="22" customHeight="1">
      <x:c r="A21" s="15" t="str">
        <x:v>Республика Корея</x:v>
      </x:c>
      <x:c r="B21" s="15" t="str">
        <x:v>Географический вклад</x:v>
      </x:c>
      <x:c r="C21" s="15" t="str">
        <x:v>п.п.²</x:v>
      </x:c>
      <x:c r="D21" s="18" t="n">
        <x:v>6</x:v>
      </x:c>
      <x:c r="E21" s="19" t="n">
        <x:v>98.8386280334165</x:v>
      </x:c>
      <x:c r="F21" s="19" t="n">
        <x:v>-0.94283276781344</x:v>
      </x:c>
      <x:c r="G21" s="19" t="n">
        <x:v>194.4921827315549</x:v>
      </x:c>
      <x:c r="H21" s="18" t="n">
        <x:v>1999</x:v>
      </x:c>
    </x:row>
    <x:row r="22" ht="22" customHeight="1">
      <x:c r="A22" s="15" t="str">
        <x:v>Республика Корея</x:v>
      </x:c>
      <x:c r="B22" s="15" t="str">
        <x:v>Изменение SD</x:v>
      </x:c>
      <x:c r="C22" s="15" t="str">
        <x:v>п.п.</x:v>
      </x:c>
      <x:c r="D22" s="18" t="n">
        <x:v>6</x:v>
      </x:c>
      <x:c r="E22" s="19" t="n">
        <x:v>-1.267653688345238</x:v>
      </x:c>
      <x:c r="F22" s="19" t="n">
        <x:v>-3.141138259759038</x:v>
      </x:c>
      <x:c r="G22" s="19" t="n">
        <x:v>0.709603152947107</x:v>
      </x:c>
      <x:c r="H22" s="18" t="n">
        <x:v>1999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15" hidden="0" customWidth="1"/>
    <x:col min="4" max="4" width="25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</x:row>
    <x:row r="2" ht="29" customHeight="1">
      <x:c r="A2" s="4" t="str">
        <x:v>Приложение Е. Результаты на двух окнах ковариации</x:v>
      </x:c>
      <x:c r="B2" s="5"/>
      <x:c r="C2" s="5"/>
      <x:c r="D2" s="5"/>
      <x:c r="E2" s="5"/>
      <x:c r="F2" s="5"/>
      <x:c r="G2" s="5"/>
    </x:row>
    <x:row r="3" ht="22" customHeight="1">
      <x:c r="A3" s="6" t="str">
        <x:v>Веса 2017 и 2024 фиксированы. Меняется только период оценки совместной динамики; это не разложение по двум временным переходам.</x:v>
      </x:c>
      <x:c r="B3" s="2"/>
      <x:c r="C3" s="2"/>
      <x:c r="D3" s="2"/>
      <x:c r="E3" s="2"/>
      <x:c r="F3" s="2"/>
      <x:c r="G3" s="2"/>
    </x:row>
    <x:row r="4" ht="22" customHeight="1">
      <x:c r="A4" s="7" t="str">
        <x:v>Источник: S01</x:v>
      </x:c>
      <x:c r="B4" s="2"/>
      <x:c r="C4" s="2"/>
      <x:c r="D4" s="2"/>
      <x:c r="E4" s="2"/>
      <x:c r="F4" s="2"/>
      <x:c r="G4" s="2"/>
    </x:row>
    <x:row r="5" ht="26" customHeight="1">
      <x:c r="A5" s="8" t="str">
        <x:v>Результаты</x:v>
      </x:c>
      <x:c r="B5" s="2"/>
      <x:c r="C5" s="2"/>
      <x:c r="D5" s="2"/>
      <x:c r="E5" s="2"/>
      <x:c r="F5" s="2"/>
      <x:c r="G5" s="2"/>
    </x:row>
    <x:row r="6" ht="36" customHeight="1">
      <x:c r="A6" s="13" t="str">
        <x:v>Страна</x:v>
      </x:c>
      <x:c r="B6" s="13" t="str">
        <x:v>Окно</x:v>
      </x:c>
      <x:c r="C6" s="13" t="str">
        <x:v>Месяцев</x:v>
      </x:c>
      <x:c r="D6" s="13" t="str">
        <x:v>ΔSD, п.п.</x:v>
      </x:c>
      <x:c r="E6" s="13" t="str">
        <x:v>Δдисперсии, п.п.²</x:v>
      </x:c>
      <x:c r="F6" s="13" t="str">
        <x:v>Товарный вклад, п.п.²</x:v>
      </x:c>
      <x:c r="G6" s="13" t="str">
        <x:v>География, п.п.²</x:v>
      </x:c>
    </x:row>
    <x:row r="7" ht="22" customHeight="1">
      <x:c r="A7" s="15" t="str">
        <x:v>Япония</x:v>
      </x:c>
      <x:c r="B7" s="15" t="str">
        <x:v>2018–2020</x:v>
      </x:c>
      <x:c r="C7" s="18" t="n">
        <x:v>36</x:v>
      </x:c>
      <x:c r="D7" s="19" t="n">
        <x:v>-0.243607522063494</x:v>
      </x:c>
      <x:c r="E7" s="19" t="n">
        <x:v>-4.014516846953505</x:v>
      </x:c>
      <x:c r="F7" s="19" t="n">
        <x:v>2.826939595059244</x:v>
      </x:c>
      <x:c r="G7" s="19" t="n">
        <x:v>-6.841456442012749</x:v>
      </x:c>
    </x:row>
    <x:row r="8" ht="22" customHeight="1">
      <x:c r="A8" s="15" t="str">
        <x:v>Республика Корея</x:v>
      </x:c>
      <x:c r="B8" s="15" t="str">
        <x:v>2018–2020</x:v>
      </x:c>
      <x:c r="C8" s="18" t="n">
        <x:v>36</x:v>
      </x:c>
      <x:c r="D8" s="19" t="n">
        <x:v>-3.5335270261038</x:v>
      </x:c>
      <x:c r="E8" s="19" t="n">
        <x:v>-173.38474486648124</x:v>
      </x:c>
      <x:c r="F8" s="19" t="n">
        <x:v>-146.71243251444966</x:v>
      </x:c>
      <x:c r="G8" s="19" t="n">
        <x:v>-26.672312352031582</x:v>
      </x:c>
    </x:row>
    <x:row r="9" ht="22" customHeight="1">
      <x:c r="A9" s="15" t="str">
        <x:v>Япония</x:v>
      </x:c>
      <x:c r="B9" s="15" t="str">
        <x:v>2021–2024</x:v>
      </x:c>
      <x:c r="C9" s="18" t="n">
        <x:v>48</x:v>
      </x:c>
      <x:c r="D9" s="19" t="n">
        <x:v>-0.091455106899022</x:v>
      </x:c>
      <x:c r="E9" s="19" t="n">
        <x:v>-2.005151691116588</x:v>
      </x:c>
      <x:c r="F9" s="19" t="n">
        <x:v>9.348747265572523</x:v>
      </x:c>
      <x:c r="G9" s="19" t="n">
        <x:v>-11.353898956689113</x:v>
      </x:c>
    </x:row>
    <x:row r="10" ht="22" customHeight="1">
      <x:c r="A10" s="15" t="str">
        <x:v>Республика Корея</x:v>
      </x:c>
      <x:c r="B10" s="15" t="str">
        <x:v>2021–2024</x:v>
      </x:c>
      <x:c r="C10" s="18" t="n">
        <x:v>48</x:v>
      </x:c>
      <x:c r="D10" s="19" t="n">
        <x:v>-0.302851987081248</x:v>
      </x:c>
      <x:c r="E10" s="19" t="n">
        <x:v>-19.352008661341348</x:v>
      </x:c>
      <x:c r="F10" s="19" t="n">
        <x:v>-188.4407610457943</x:v>
      </x:c>
      <x:c r="G10" s="19" t="n">
        <x:v>169.08875238445296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15" hidden="0" customWidth="1"/>
    <x:col min="4" max="4" width="26" hidden="0" customWidth="1"/>
    <x:col min="5" max="5" width="25" hidden="0" customWidth="1"/>
    <x:col min="6" max="6" width="30" hidden="0" customWidth="1"/>
  </x:cols>
  <x:sheetData>
    <x:row r="1" ht="8" customHeight="1">
      <x:c r="A1" s="2"/>
      <x:c r="B1" s="2"/>
      <x:c r="C1" s="2"/>
      <x:c r="D1" s="2"/>
      <x:c r="E1" s="2"/>
      <x:c r="F1" s="2"/>
    </x:row>
    <x:row r="2" ht="29" customHeight="1">
      <x:c r="A2" s="4" t="str">
        <x:v>Приложение Ж. Сценарии памяти на двух окнах</x:v>
      </x:c>
      <x:c r="B2" s="5"/>
      <x:c r="C2" s="5"/>
      <x:c r="D2" s="5"/>
      <x:c r="E2" s="5"/>
      <x:c r="F2" s="5"/>
    </x:row>
    <x:row r="3" ht="22" customHeight="1">
      <x:c r="A3" s="6" t="str">
        <x:v>База — структура 2024. В каждом окне изменение SD считается относительно базовой структуры на том же окне.</x:v>
      </x:c>
      <x:c r="B3" s="2"/>
      <x:c r="C3" s="2"/>
      <x:c r="D3" s="2"/>
      <x:c r="E3" s="2"/>
      <x:c r="F3" s="2"/>
    </x:row>
    <x:row r="4" ht="22" customHeight="1">
      <x:c r="A4" s="7" t="str">
        <x:v>Источник: S02</x:v>
      </x:c>
      <x:c r="B4" s="2"/>
      <x:c r="C4" s="2"/>
      <x:c r="D4" s="2"/>
      <x:c r="E4" s="2"/>
      <x:c r="F4" s="2"/>
    </x:row>
    <x:row r="5" ht="26" customHeight="1">
      <x:c r="A5" s="8" t="str">
        <x:v>Сценарные оценки</x:v>
      </x:c>
      <x:c r="B5" s="2"/>
      <x:c r="C5" s="2"/>
      <x:c r="D5" s="2"/>
      <x:c r="E5" s="2"/>
      <x:c r="F5" s="2"/>
    </x:row>
    <x:row r="6" ht="36" customHeight="1">
      <x:c r="A6" s="13" t="str">
        <x:v>Страна</x:v>
      </x:c>
      <x:c r="B6" s="13" t="str">
        <x:v>Окно</x:v>
      </x:c>
      <x:c r="C6" s="13" t="str">
        <x:v>Месяцев</x:v>
      </x:c>
      <x:c r="D6" s="13" t="str">
        <x:v>Сдвиг доли, п.п.</x:v>
      </x:c>
      <x:c r="E6" s="13" t="str">
        <x:v>SD, п.п.</x:v>
      </x:c>
      <x:c r="F6" s="13" t="str">
        <x:v>ΔSD к базе окна, п.п.</x:v>
      </x:c>
    </x:row>
    <x:row r="7" ht="22" customHeight="1">
      <x:c r="A7" s="15" t="str">
        <x:v>Япония</x:v>
      </x:c>
      <x:c r="B7" s="15" t="str">
        <x:v>2018–2020</x:v>
      </x:c>
      <x:c r="C7" s="18" t="n">
        <x:v>36</x:v>
      </x:c>
      <x:c r="D7" s="19" t="n">
        <x:v>-5</x:v>
      </x:c>
      <x:c r="E7" s="19" t="n">
        <x:v>7.993551020538546</x:v>
      </x:c>
      <x:c r="F7" s="19" t="n">
        <x:v>-0.12436789396177073</x:v>
      </x:c>
    </x:row>
    <x:row r="8" ht="22" customHeight="1">
      <x:c r="A8" s="15" t="str">
        <x:v>Япония</x:v>
      </x:c>
      <x:c r="B8" s="15" t="str">
        <x:v>2018–2020</x:v>
      </x:c>
      <x:c r="C8" s="18" t="n">
        <x:v>36</x:v>
      </x:c>
      <x:c r="D8" s="19" t="n">
        <x:v>-2.5</x:v>
      </x:c>
      <x:c r="E8" s="19" t="n">
        <x:v>8.04167274602905</x:v>
      </x:c>
      <x:c r="F8" s="19" t="n">
        <x:v>-0.07624616847126653</x:v>
      </x:c>
    </x:row>
    <x:row r="9" ht="22" customHeight="1">
      <x:c r="A9" s="15" t="str">
        <x:v>Япония</x:v>
      </x:c>
      <x:c r="B9" s="15" t="str">
        <x:v>2018–2020</x:v>
      </x:c>
      <x:c r="C9" s="18" t="n">
        <x:v>36</x:v>
      </x:c>
      <x:c r="D9" s="19" t="n">
        <x:v>0</x:v>
      </x:c>
      <x:c r="E9" s="19" t="n">
        <x:v>8.117918914500317</x:v>
      </x:c>
      <x:c r="F9" s="19" t="n">
        <x:v>0</x:v>
      </x:c>
    </x:row>
    <x:row r="10" ht="22" customHeight="1">
      <x:c r="A10" s="15" t="str">
        <x:v>Япония</x:v>
      </x:c>
      <x:c r="B10" s="15" t="str">
        <x:v>2018–2020</x:v>
      </x:c>
      <x:c r="C10" s="18" t="n">
        <x:v>36</x:v>
      </x:c>
      <x:c r="D10" s="19" t="n">
        <x:v>2.5</x:v>
      </x:c>
      <x:c r="E10" s="19" t="n">
        <x:v>8.221507085837702</x:v>
      </x:c>
      <x:c r="F10" s="19" t="n">
        <x:v>0.1035881713373854</x:v>
      </x:c>
    </x:row>
    <x:row r="11" ht="22" customHeight="1">
      <x:c r="A11" s="15" t="str">
        <x:v>Япония</x:v>
      </x:c>
      <x:c r="B11" s="15" t="str">
        <x:v>2018–2020</x:v>
      </x:c>
      <x:c r="C11" s="18" t="n">
        <x:v>36</x:v>
      </x:c>
      <x:c r="D11" s="19" t="n">
        <x:v>5</x:v>
      </x:c>
      <x:c r="E11" s="19" t="n">
        <x:v>8.3514198993021</x:v>
      </x:c>
      <x:c r="F11" s="19" t="n">
        <x:v>0.2335009848017826</x:v>
      </x:c>
    </x:row>
    <x:row r="12" ht="22" customHeight="1">
      <x:c r="A12" s="15" t="str">
        <x:v>Япония</x:v>
      </x:c>
      <x:c r="B12" s="15" t="str">
        <x:v>2021–2024</x:v>
      </x:c>
      <x:c r="C12" s="18" t="n">
        <x:v>48</x:v>
      </x:c>
      <x:c r="D12" s="19" t="n">
        <x:v>-5</x:v>
      </x:c>
      <x:c r="E12" s="19" t="n">
        <x:v>10.426376878424444</x:v>
      </x:c>
      <x:c r="F12" s="19" t="n">
        <x:v>-0.4903872162443861</x:v>
      </x:c>
    </x:row>
    <x:row r="13" ht="22" customHeight="1">
      <x:c r="A13" s="15" t="str">
        <x:v>Япония</x:v>
      </x:c>
      <x:c r="B13" s="15" t="str">
        <x:v>2021–2024</x:v>
      </x:c>
      <x:c r="C13" s="18" t="n">
        <x:v>48</x:v>
      </x:c>
      <x:c r="D13" s="19" t="n">
        <x:v>-2.5</x:v>
      </x:c>
      <x:c r="E13" s="19" t="n">
        <x:v>10.665804608434032</x:v>
      </x:c>
      <x:c r="F13" s="19" t="n">
        <x:v>-0.25095948623479813</x:v>
      </x:c>
    </x:row>
    <x:row r="14" ht="22" customHeight="1">
      <x:c r="A14" s="15" t="str">
        <x:v>Япония</x:v>
      </x:c>
      <x:c r="B14" s="15" t="str">
        <x:v>2021–2024</x:v>
      </x:c>
      <x:c r="C14" s="18" t="n">
        <x:v>48</x:v>
      </x:c>
      <x:c r="D14" s="19" t="n">
        <x:v>0</x:v>
      </x:c>
      <x:c r="E14" s="19" t="n">
        <x:v>10.91676409466883</x:v>
      </x:c>
      <x:c r="F14" s="19" t="n">
        <x:v>0</x:v>
      </x:c>
    </x:row>
    <x:row r="15" ht="22" customHeight="1">
      <x:c r="A15" s="15" t="str">
        <x:v>Япония</x:v>
      </x:c>
      <x:c r="B15" s="15" t="str">
        <x:v>2021–2024</x:v>
      </x:c>
      <x:c r="C15" s="18" t="n">
        <x:v>48</x:v>
      </x:c>
      <x:c r="D15" s="19" t="n">
        <x:v>2.5</x:v>
      </x:c>
      <x:c r="E15" s="19" t="n">
        <x:v>11.178478692157432</x:v>
      </x:c>
      <x:c r="F15" s="19" t="n">
        <x:v>0.26171459748860215</x:v>
      </x:c>
    </x:row>
    <x:row r="16" ht="22" customHeight="1">
      <x:c r="A16" s="15" t="str">
        <x:v>Япония</x:v>
      </x:c>
      <x:c r="B16" s="15" t="str">
        <x:v>2021–2024</x:v>
      </x:c>
      <x:c r="C16" s="18" t="n">
        <x:v>48</x:v>
      </x:c>
      <x:c r="D16" s="19" t="n">
        <x:v>5</x:v>
      </x:c>
      <x:c r="E16" s="19" t="n">
        <x:v>11.45021094401296</x:v>
      </x:c>
      <x:c r="F16" s="19" t="n">
        <x:v>0.5334468493441307</x:v>
      </x:c>
    </x:row>
    <x:row r="17" ht="22" customHeight="1">
      <x:c r="A17" s="15" t="str">
        <x:v>Республика Корея</x:v>
      </x:c>
      <x:c r="B17" s="15" t="str">
        <x:v>2018–2020</x:v>
      </x:c>
      <x:c r="C17" s="18" t="n">
        <x:v>36</x:v>
      </x:c>
      <x:c r="D17" s="19" t="n">
        <x:v>-5</x:v>
      </x:c>
      <x:c r="E17" s="19" t="n">
        <x:v>21.465560660995653</x:v>
      </x:c>
      <x:c r="F17" s="19" t="n">
        <x:v>-1.301907994775263</x:v>
      </x:c>
    </x:row>
    <x:row r="18" ht="22" customHeight="1">
      <x:c r="A18" s="15" t="str">
        <x:v>Республика Корея</x:v>
      </x:c>
      <x:c r="B18" s="15" t="str">
        <x:v>2018–2020</x:v>
      </x:c>
      <x:c r="C18" s="18" t="n">
        <x:v>36</x:v>
      </x:c>
      <x:c r="D18" s="19" t="n">
        <x:v>-2.5</x:v>
      </x:c>
      <x:c r="E18" s="19" t="n">
        <x:v>22.110215359668324</x:v>
      </x:c>
      <x:c r="F18" s="19" t="n">
        <x:v>-0.6572532961025921</x:v>
      </x:c>
    </x:row>
    <x:row r="19" ht="22" customHeight="1">
      <x:c r="A19" s="15" t="str">
        <x:v>Республика Корея</x:v>
      </x:c>
      <x:c r="B19" s="15" t="str">
        <x:v>2018–2020</x:v>
      </x:c>
      <x:c r="C19" s="18" t="n">
        <x:v>36</x:v>
      </x:c>
      <x:c r="D19" s="19" t="n">
        <x:v>0</x:v>
      </x:c>
      <x:c r="E19" s="19" t="n">
        <x:v>22.767468655770916</x:v>
      </x:c>
      <x:c r="F19" s="19" t="n">
        <x:v>0</x:v>
      </x:c>
    </x:row>
    <x:row r="20" ht="22" customHeight="1">
      <x:c r="A20" s="15" t="str">
        <x:v>Республика Корея</x:v>
      </x:c>
      <x:c r="B20" s="15" t="str">
        <x:v>2018–2020</x:v>
      </x:c>
      <x:c r="C20" s="18" t="n">
        <x:v>36</x:v>
      </x:c>
      <x:c r="D20" s="19" t="n">
        <x:v>2.5</x:v>
      </x:c>
      <x:c r="E20" s="19" t="n">
        <x:v>23.43626061710098</x:v>
      </x:c>
      <x:c r="F20" s="19" t="n">
        <x:v>0.668791961330065</x:v>
      </x:c>
    </x:row>
    <x:row r="21" ht="22" customHeight="1">
      <x:c r="A21" s="15" t="str">
        <x:v>Республика Корея</x:v>
      </x:c>
      <x:c r="B21" s="15" t="str">
        <x:v>2018–2020</x:v>
      </x:c>
      <x:c r="C21" s="18" t="n">
        <x:v>36</x:v>
      </x:c>
      <x:c r="D21" s="19" t="n">
        <x:v>5</x:v>
      </x:c>
      <x:c r="E21" s="19" t="n">
        <x:v>24.115631267176383</x:v>
      </x:c>
      <x:c r="F21" s="19" t="n">
        <x:v>1.348162611405467</x:v>
      </x:c>
    </x:row>
    <x:row r="22" ht="22" customHeight="1">
      <x:c r="A22" s="15" t="str">
        <x:v>Республика Корея</x:v>
      </x:c>
      <x:c r="B22" s="15" t="str">
        <x:v>2021–2024</x:v>
      </x:c>
      <x:c r="C22" s="18" t="n">
        <x:v>48</x:v>
      </x:c>
      <x:c r="D22" s="19" t="n">
        <x:v>-5</x:v>
      </x:c>
      <x:c r="E22" s="19" t="n">
        <x:v>30.49311019642381</x:v>
      </x:c>
      <x:c r="F22" s="19" t="n">
        <x:v>-1.3050786166731676</x:v>
      </x:c>
    </x:row>
    <x:row r="23" ht="22" customHeight="1">
      <x:c r="A23" s="15" t="str">
        <x:v>Республика Корея</x:v>
      </x:c>
      <x:c r="B23" s="15" t="str">
        <x:v>2021–2024</x:v>
      </x:c>
      <x:c r="C23" s="18" t="n">
        <x:v>48</x:v>
      </x:c>
      <x:c r="D23" s="19" t="n">
        <x:v>-2.5</x:v>
      </x:c>
      <x:c r="E23" s="19" t="n">
        <x:v>31.139595106873358</x:v>
      </x:c>
      <x:c r="F23" s="19" t="n">
        <x:v>-0.6585937062236198</x:v>
      </x:c>
    </x:row>
    <x:row r="24" ht="22" customHeight="1">
      <x:c r="A24" s="15" t="str">
        <x:v>Республика Корея</x:v>
      </x:c>
      <x:c r="B24" s="15" t="str">
        <x:v>2021–2024</x:v>
      </x:c>
      <x:c r="C24" s="18" t="n">
        <x:v>48</x:v>
      </x:c>
      <x:c r="D24" s="19" t="n">
        <x:v>0</x:v>
      </x:c>
      <x:c r="E24" s="19" t="n">
        <x:v>31.798188813096978</x:v>
      </x:c>
      <x:c r="F24" s="19" t="n">
        <x:v>0</x:v>
      </x:c>
    </x:row>
    <x:row r="25" ht="22" customHeight="1">
      <x:c r="A25" s="15" t="str">
        <x:v>Республика Корея</x:v>
      </x:c>
      <x:c r="B25" s="15" t="str">
        <x:v>2021–2024</x:v>
      </x:c>
      <x:c r="C25" s="18" t="n">
        <x:v>48</x:v>
      </x:c>
      <x:c r="D25" s="19" t="n">
        <x:v>2.5</x:v>
      </x:c>
      <x:c r="E25" s="19" t="n">
        <x:v>32.46815446820637</x:v>
      </x:c>
      <x:c r="F25" s="19" t="n">
        <x:v>0.6699656551093938</x:v>
      </x:c>
    </x:row>
    <x:row r="26" ht="22" customHeight="1">
      <x:c r="A26" s="15" t="str">
        <x:v>Республика Корея</x:v>
      </x:c>
      <x:c r="B26" s="15" t="str">
        <x:v>2021–2024</x:v>
      </x:c>
      <x:c r="C26" s="18" t="n">
        <x:v>48</x:v>
      </x:c>
      <x:c r="D26" s="19" t="n">
        <x:v>5</x:v>
      </x:c>
      <x:c r="E26" s="19" t="n">
        <x:v>33.14880256892913</x:v>
      </x:c>
      <x:c r="F26" s="19" t="n">
        <x:v>1.3506137558321498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20" hidden="0" customWidth="1"/>
    <x:col min="5" max="5" width="15" hidden="0" customWidth="1"/>
    <x:col min="6" max="6" width="19" hidden="0" customWidth="1"/>
    <x:col min="7" max="7" width="28" hidden="0" customWidth="1"/>
    <x:col min="8" max="8" width="28" hidden="0" customWidth="1"/>
    <x:col min="9" max="9" width="25" hidden="0" customWidth="1"/>
    <x:col min="10" max="10" width="25" hidden="0" customWidth="1"/>
    <x:col min="11" max="11" width="27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4" t="str">
        <x:v>Приложение З. Сверка месячных и годовых данных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2" customHeight="1">
      <x:c r="A3" s="6" t="str">
        <x:v>96 сопоставимых пар, по 12 месяцев. Коды 8542 и 854290 служат контрольными рядами и не входят в четыре товара основной модели.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7" t="str">
        <x:v>Источник: S07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6" customHeight="1">
      <x:c r="A5" s="8" t="str">
        <x:v>Сопоставимые наблюдения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3" t="str">
        <x:v>Страна</x:v>
      </x:c>
      <x:c r="B6" s="13" t="str">
        <x:v>Год</x:v>
      </x:c>
      <x:c r="C6" s="13" t="str">
        <x:v>HS</x:v>
      </x:c>
      <x:c r="D6" s="13" t="str">
        <x:v>Ряд</x:v>
      </x:c>
      <x:c r="E6" s="13" t="str">
        <x:v>Месяцев</x:v>
      </x:c>
      <x:c r="F6" s="13" t="str">
        <x:v>Сопоставимо</x:v>
      </x:c>
      <x:c r="G6" s="13" t="str">
        <x:v>Годовой ответ, долл.</x:v>
      </x:c>
      <x:c r="H6" s="13" t="str">
        <x:v>Сумма месяцев, долл.</x:v>
      </x:c>
      <x:c r="I6" s="13" t="str">
        <x:v>Годовой, млрд долл.</x:v>
      </x:c>
      <x:c r="J6" s="13" t="str">
        <x:v>Месяцы, млрд долл.</x:v>
      </x:c>
      <x:c r="K6" s="13" t="str">
        <x:v>Относительное отклонение</x:v>
      </x:c>
    </x:row>
    <x:row r="7" ht="22" customHeight="1">
      <x:c r="A7" s="15" t="str">
        <x:v>Япония</x:v>
      </x:c>
      <x:c r="B7" s="18" t="n">
        <x:v>2017</x:v>
      </x:c>
      <x:c r="C7" s="15" t="str">
        <x:v>8542</x:v>
      </x:c>
      <x:c r="D7" s="15" t="str">
        <x:v>Контрольный</x:v>
      </x:c>
      <x:c r="E7" s="18" t="n">
        <x:v>12</x:v>
      </x:c>
      <x:c r="F7" s="27" t="b">
        <x:v>1</x:v>
      </x:c>
      <x:c r="G7" s="19" t="n">
        <x:v>26673541180.398</x:v>
      </x:c>
      <x:c r="H7" s="19" t="n">
        <x:v>26677465200.869</x:v>
      </x:c>
      <x:c r="I7" s="19" t="n">
        <x:f>G7/10^9</x:f>
        <x:v>26.673541180397997</x:v>
      </x:c>
      <x:c r="J7" s="19" t="n">
        <x:f>H7/10^9</x:f>
        <x:v>26.677465200869</x:v>
      </x:c>
      <x:c r="K7" s="28" t="n">
        <x:f>(H7-G7)/G7</x:f>
        <x:v>0.00014711284281535057</x:v>
      </x:c>
    </x:row>
    <x:row r="8" ht="22" customHeight="1">
      <x:c r="A8" s="15" t="str">
        <x:v>Япония</x:v>
      </x:c>
      <x:c r="B8" s="18" t="n">
        <x:v>2017</x:v>
      </x:c>
      <x:c r="C8" s="15" t="str">
        <x:v>854231</x:v>
      </x:c>
      <x:c r="D8" s="15" t="str">
        <x:v>Основной</x:v>
      </x:c>
      <x:c r="E8" s="18" t="n">
        <x:v>12</x:v>
      </x:c>
      <x:c r="F8" s="27" t="b">
        <x:v>1</x:v>
      </x:c>
      <x:c r="G8" s="19" t="n">
        <x:v>3957009197.835</x:v>
      </x:c>
      <x:c r="H8" s="19" t="n">
        <x:v>3957565041.246</x:v>
      </x:c>
      <x:c r="I8" s="19" t="n">
        <x:f>G8/10^9</x:f>
        <x:v>3.957009197835</x:v>
      </x:c>
      <x:c r="J8" s="19" t="n">
        <x:f>H8/10^9</x:f>
        <x:v>3.9575650412459997</x:v>
      </x:c>
      <x:c r="K8" s="28" t="n">
        <x:f>(H8-G8)/G8</x:f>
        <x:v>0.00014047058857075535</x:v>
      </x:c>
    </x:row>
    <x:row r="9" ht="22" customHeight="1">
      <x:c r="A9" s="15" t="str">
        <x:v>Япония</x:v>
      </x:c>
      <x:c r="B9" s="18" t="n">
        <x:v>2017</x:v>
      </x:c>
      <x:c r="C9" s="15" t="str">
        <x:v>854232</x:v>
      </x:c>
      <x:c r="D9" s="15" t="str">
        <x:v>Основной</x:v>
      </x:c>
      <x:c r="E9" s="18" t="n">
        <x:v>12</x:v>
      </x:c>
      <x:c r="F9" s="27" t="b">
        <x:v>1</x:v>
      </x:c>
      <x:c r="G9" s="19" t="n">
        <x:v>9740277226.468</x:v>
      </x:c>
      <x:c r="H9" s="19" t="n">
        <x:v>9741604463.965</x:v>
      </x:c>
      <x:c r="I9" s="19" t="n">
        <x:f>G9/10^9</x:f>
        <x:v>9.740277226468</x:v>
      </x:c>
      <x:c r="J9" s="19" t="n">
        <x:f>H9/10^9</x:f>
        <x:v>9.741604463965</x:v>
      </x:c>
      <x:c r="K9" s="28" t="n">
        <x:f>(H9-G9)/G9</x:f>
        <x:v>0.0001362628050660752</x:v>
      </x:c>
    </x:row>
    <x:row r="10" ht="22" customHeight="1">
      <x:c r="A10" s="15" t="str">
        <x:v>Япония</x:v>
      </x:c>
      <x:c r="B10" s="18" t="n">
        <x:v>2017</x:v>
      </x:c>
      <x:c r="C10" s="15" t="str">
        <x:v>854233</x:v>
      </x:c>
      <x:c r="D10" s="15" t="str">
        <x:v>Основной</x:v>
      </x:c>
      <x:c r="E10" s="18" t="n">
        <x:v>12</x:v>
      </x:c>
      <x:c r="F10" s="27" t="b">
        <x:v>1</x:v>
      </x:c>
      <x:c r="G10" s="19" t="n">
        <x:v>475236835.517</x:v>
      </x:c>
      <x:c r="H10" s="19" t="n">
        <x:v>475307142.966</x:v>
      </x:c>
      <x:c r="I10" s="19" t="n">
        <x:f>G10/10^9</x:f>
        <x:v>0.475236835517</x:v>
      </x:c>
      <x:c r="J10" s="19" t="n">
        <x:f>H10/10^9</x:f>
        <x:v>0.475307142966</x:v>
      </x:c>
      <x:c r="K10" s="28" t="n">
        <x:f>(H10-G10)/G10</x:f>
        <x:v>0.00014794191810387546</x:v>
      </x:c>
    </x:row>
    <x:row r="11" ht="22" customHeight="1">
      <x:c r="A11" s="15" t="str">
        <x:v>Япония</x:v>
      </x:c>
      <x:c r="B11" s="18" t="n">
        <x:v>2017</x:v>
      </x:c>
      <x:c r="C11" s="15" t="str">
        <x:v>854239</x:v>
      </x:c>
      <x:c r="D11" s="15" t="str">
        <x:v>Основной</x:v>
      </x:c>
      <x:c r="E11" s="18" t="n">
        <x:v>12</x:v>
      </x:c>
      <x:c r="F11" s="27" t="b">
        <x:v>1</x:v>
      </x:c>
      <x:c r="G11" s="19" t="n">
        <x:v>10816822738.635</x:v>
      </x:c>
      <x:c r="H11" s="19" t="n">
        <x:v>10818622620.696</x:v>
      </x:c>
      <x:c r="I11" s="19" t="n">
        <x:f>G11/10^9</x:f>
        <x:v>10.816822738635</x:v>
      </x:c>
      <x:c r="J11" s="19" t="n">
        <x:f>H11/10^9</x:f>
        <x:v>10.818622620695999</x:v>
      </x:c>
      <x:c r="K11" s="28" t="n">
        <x:f>(H11-G11)/G11</x:f>
        <x:v>0.00016639655696401362</x:v>
      </x:c>
    </x:row>
    <x:row r="12" ht="22" customHeight="1">
      <x:c r="A12" s="15" t="str">
        <x:v>Япония</x:v>
      </x:c>
      <x:c r="B12" s="18" t="n">
        <x:v>2017</x:v>
      </x:c>
      <x:c r="C12" s="15" t="str">
        <x:v>854290</x:v>
      </x:c>
      <x:c r="D12" s="15" t="str">
        <x:v>Контрольный</x:v>
      </x:c>
      <x:c r="E12" s="18" t="n">
        <x:v>12</x:v>
      </x:c>
      <x:c r="F12" s="27" t="b">
        <x:v>1</x:v>
      </x:c>
      <x:c r="G12" s="19" t="n">
        <x:v>1684195181.944</x:v>
      </x:c>
      <x:c r="H12" s="19" t="n">
        <x:v>1684365931.997</x:v>
      </x:c>
      <x:c r="I12" s="19" t="n">
        <x:f>G12/10^9</x:f>
        <x:v>1.684195181944</x:v>
      </x:c>
      <x:c r="J12" s="19" t="n">
        <x:f>H12/10^9</x:f>
        <x:v>1.684365931997</x:v>
      </x:c>
      <x:c r="K12" s="28" t="n">
        <x:f>(H12-G12)/G12</x:f>
        <x:v>0.00010138376764792976</x:v>
      </x:c>
    </x:row>
    <x:row r="13" ht="22" customHeight="1">
      <x:c r="A13" s="15" t="str">
        <x:v>Япония</x:v>
      </x:c>
      <x:c r="B13" s="18" t="n">
        <x:v>2018</x:v>
      </x:c>
      <x:c r="C13" s="15" t="str">
        <x:v>8542</x:v>
      </x:c>
      <x:c r="D13" s="15" t="str">
        <x:v>Контрольный</x:v>
      </x:c>
      <x:c r="E13" s="18" t="n">
        <x:v>12</x:v>
      </x:c>
      <x:c r="F13" s="27" t="b">
        <x:v>1</x:v>
      </x:c>
      <x:c r="G13" s="19" t="n">
        <x:v>28035473943.137</x:v>
      </x:c>
      <x:c r="H13" s="19" t="n">
        <x:v>28013934840.712</x:v>
      </x:c>
      <x:c r="I13" s="19" t="n">
        <x:f>G13/10^9</x:f>
        <x:v>28.035473943137003</x:v>
      </x:c>
      <x:c r="J13" s="19" t="n">
        <x:f>H13/10^9</x:f>
        <x:v>28.013934840712</x:v>
      </x:c>
      <x:c r="K13" s="28" t="n">
        <x:f>(H13-G13)/G13</x:f>
        <x:v>-0.0007682803033287741</x:v>
      </x:c>
    </x:row>
    <x:row r="14" ht="22" customHeight="1">
      <x:c r="A14" s="15" t="str">
        <x:v>Япония</x:v>
      </x:c>
      <x:c r="B14" s="18" t="n">
        <x:v>2018</x:v>
      </x:c>
      <x:c r="C14" s="15" t="str">
        <x:v>854231</x:v>
      </x:c>
      <x:c r="D14" s="15" t="str">
        <x:v>Основной</x:v>
      </x:c>
      <x:c r="E14" s="18" t="n">
        <x:v>12</x:v>
      </x:c>
      <x:c r="F14" s="27" t="b">
        <x:v>1</x:v>
      </x:c>
      <x:c r="G14" s="19" t="n">
        <x:v>3487630695.016</x:v>
      </x:c>
      <x:c r="H14" s="19" t="n">
        <x:v>3489641407.304</x:v>
      </x:c>
      <x:c r="I14" s="19" t="n">
        <x:f>G14/10^9</x:f>
        <x:v>3.4876306950159996</x:v>
      </x:c>
      <x:c r="J14" s="19" t="n">
        <x:f>H14/10^9</x:f>
        <x:v>3.489641407304</x:v>
      </x:c>
      <x:c r="K14" s="28" t="n">
        <x:f>(H14-G14)/G14</x:f>
        <x:v>0.0005765267208117866</x:v>
      </x:c>
    </x:row>
    <x:row r="15" ht="22" customHeight="1">
      <x:c r="A15" s="15" t="str">
        <x:v>Япония</x:v>
      </x:c>
      <x:c r="B15" s="18" t="n">
        <x:v>2018</x:v>
      </x:c>
      <x:c r="C15" s="15" t="str">
        <x:v>854232</x:v>
      </x:c>
      <x:c r="D15" s="15" t="str">
        <x:v>Основной</x:v>
      </x:c>
      <x:c r="E15" s="18" t="n">
        <x:v>12</x:v>
      </x:c>
      <x:c r="F15" s="27" t="b">
        <x:v>1</x:v>
      </x:c>
      <x:c r="G15" s="19" t="n">
        <x:v>11605194366.397</x:v>
      </x:c>
      <x:c r="H15" s="19" t="n">
        <x:v>11599477389.162</x:v>
      </x:c>
      <x:c r="I15" s="19" t="n">
        <x:f>G15/10^9</x:f>
        <x:v>11.605194366396999</x:v>
      </x:c>
      <x:c r="J15" s="19" t="n">
        <x:f>H15/10^9</x:f>
        <x:v>11.599477389162</x:v>
      </x:c>
      <x:c r="K15" s="28" t="n">
        <x:f>(H15-G15)/G15</x:f>
        <x:v>-0.0004926222736563801</x:v>
      </x:c>
    </x:row>
    <x:row r="16" ht="22" customHeight="1">
      <x:c r="A16" s="15" t="str">
        <x:v>Япония</x:v>
      </x:c>
      <x:c r="B16" s="18" t="n">
        <x:v>2018</x:v>
      </x:c>
      <x:c r="C16" s="15" t="str">
        <x:v>854233</x:v>
      </x:c>
      <x:c r="D16" s="15" t="str">
        <x:v>Основной</x:v>
      </x:c>
      <x:c r="E16" s="18" t="n">
        <x:v>12</x:v>
      </x:c>
      <x:c r="F16" s="27" t="b">
        <x:v>1</x:v>
      </x:c>
      <x:c r="G16" s="19" t="n">
        <x:v>403591366.96</x:v>
      </x:c>
      <x:c r="H16" s="19" t="n">
        <x:v>403749002.934</x:v>
      </x:c>
      <x:c r="I16" s="19" t="n">
        <x:f>G16/10^9</x:f>
        <x:v>0.40359136696</x:v>
      </x:c>
      <x:c r="J16" s="19" t="n">
        <x:f>H16/10^9</x:f>
        <x:v>0.403749002934</x:v>
      </x:c>
      <x:c r="K16" s="28" t="n">
        <x:f>(H16-G16)/G16</x:f>
        <x:v>0.00039058311674853056</x:v>
      </x:c>
    </x:row>
    <x:row r="17" ht="22" customHeight="1">
      <x:c r="A17" s="15" t="str">
        <x:v>Япония</x:v>
      </x:c>
      <x:c r="B17" s="18" t="n">
        <x:v>2018</x:v>
      </x:c>
      <x:c r="C17" s="15" t="str">
        <x:v>854239</x:v>
      </x:c>
      <x:c r="D17" s="15" t="str">
        <x:v>Основной</x:v>
      </x:c>
      <x:c r="E17" s="18" t="n">
        <x:v>12</x:v>
      </x:c>
      <x:c r="F17" s="27" t="b">
        <x:v>1</x:v>
      </x:c>
      <x:c r="G17" s="19" t="n">
        <x:v>10813731794.803</x:v>
      </x:c>
      <x:c r="H17" s="19" t="n">
        <x:v>10794911190.331</x:v>
      </x:c>
      <x:c r="I17" s="19" t="n">
        <x:f>G17/10^9</x:f>
        <x:v>10.813731794803</x:v>
      </x:c>
      <x:c r="J17" s="19" t="n">
        <x:f>H17/10^9</x:f>
        <x:v>10.794911190331</x:v>
      </x:c>
      <x:c r="K17" s="28" t="n">
        <x:f>(H17-G17)/G17</x:f>
        <x:v>-0.0017404356635740833</x:v>
      </x:c>
    </x:row>
    <x:row r="18" ht="22" customHeight="1">
      <x:c r="A18" s="15" t="str">
        <x:v>Япония</x:v>
      </x:c>
      <x:c r="B18" s="18" t="n">
        <x:v>2018</x:v>
      </x:c>
      <x:c r="C18" s="15" t="str">
        <x:v>854290</x:v>
      </x:c>
      <x:c r="D18" s="15" t="str">
        <x:v>Контрольный</x:v>
      </x:c>
      <x:c r="E18" s="18" t="n">
        <x:v>12</x:v>
      </x:c>
      <x:c r="F18" s="27" t="b">
        <x:v>1</x:v>
      </x:c>
      <x:c r="G18" s="19" t="n">
        <x:v>1725325719.962</x:v>
      </x:c>
      <x:c r="H18" s="19" t="n">
        <x:v>1726155850.978</x:v>
      </x:c>
      <x:c r="I18" s="19" t="n">
        <x:f>G18/10^9</x:f>
        <x:v>1.7253257199619998</x:v>
      </x:c>
      <x:c r="J18" s="19" t="n">
        <x:f>H18/10^9</x:f>
        <x:v>1.726155850978</x:v>
      </x:c>
      <x:c r="K18" s="28" t="n">
        <x:f>(H18-G18)/G18</x:f>
        <x:v>0.00048114452036240207</x:v>
      </x:c>
    </x:row>
    <x:row r="19" ht="22" customHeight="1">
      <x:c r="A19" s="15" t="str">
        <x:v>Япония</x:v>
      </x:c>
      <x:c r="B19" s="18" t="n">
        <x:v>2019</x:v>
      </x:c>
      <x:c r="C19" s="15" t="str">
        <x:v>8542</x:v>
      </x:c>
      <x:c r="D19" s="15" t="str">
        <x:v>Контрольный</x:v>
      </x:c>
      <x:c r="E19" s="18" t="n">
        <x:v>12</x:v>
      </x:c>
      <x:c r="F19" s="27" t="b">
        <x:v>1</x:v>
      </x:c>
      <x:c r="G19" s="19" t="n">
        <x:v>27782032756.48</x:v>
      </x:c>
      <x:c r="H19" s="19" t="n">
        <x:v>27816214078.949</x:v>
      </x:c>
      <x:c r="I19" s="19" t="n">
        <x:f>G19/10^9</x:f>
        <x:v>27.78203275648</x:v>
      </x:c>
      <x:c r="J19" s="19" t="n">
        <x:f>H19/10^9</x:f>
        <x:v>27.816214078949002</x:v>
      </x:c>
      <x:c r="K19" s="28" t="n">
        <x:f>(H19-G19)/G19</x:f>
        <x:v>0.001230339146476932</x:v>
      </x:c>
    </x:row>
    <x:row r="20" ht="22" customHeight="1">
      <x:c r="A20" s="15" t="str">
        <x:v>Япония</x:v>
      </x:c>
      <x:c r="B20" s="18" t="n">
        <x:v>2019</x:v>
      </x:c>
      <x:c r="C20" s="15" t="str">
        <x:v>854231</x:v>
      </x:c>
      <x:c r="D20" s="15" t="str">
        <x:v>Основной</x:v>
      </x:c>
      <x:c r="E20" s="18" t="n">
        <x:v>12</x:v>
      </x:c>
      <x:c r="F20" s="27" t="b">
        <x:v>1</x:v>
      </x:c>
      <x:c r="G20" s="19" t="n">
        <x:v>3136432373.276</x:v>
      </x:c>
      <x:c r="H20" s="19" t="n">
        <x:v>3137660995.21</x:v>
      </x:c>
      <x:c r="I20" s="19" t="n">
        <x:f>G20/10^9</x:f>
        <x:v>3.136432373276</x:v>
      </x:c>
      <x:c r="J20" s="19" t="n">
        <x:f>H20/10^9</x:f>
        <x:v>3.13766099521</x:v>
      </x:c>
      <x:c r="K20" s="28" t="n">
        <x:f>(H20-G20)/G20</x:f>
        <x:v>0.00039172594456953684</x:v>
      </x:c>
    </x:row>
    <x:row r="21" ht="22" customHeight="1">
      <x:c r="A21" s="15" t="str">
        <x:v>Япония</x:v>
      </x:c>
      <x:c r="B21" s="18" t="n">
        <x:v>2019</x:v>
      </x:c>
      <x:c r="C21" s="15" t="str">
        <x:v>854232</x:v>
      </x:c>
      <x:c r="D21" s="15" t="str">
        <x:v>Основной</x:v>
      </x:c>
      <x:c r="E21" s="18" t="n">
        <x:v>12</x:v>
      </x:c>
      <x:c r="F21" s="27" t="b">
        <x:v>1</x:v>
      </x:c>
      <x:c r="G21" s="19" t="n">
        <x:v>11051592994.8</x:v>
      </x:c>
      <x:c r="H21" s="19" t="n">
        <x:v>11066187541.86</x:v>
      </x:c>
      <x:c r="I21" s="19" t="n">
        <x:f>G21/10^9</x:f>
        <x:v>11.0515929948</x:v>
      </x:c>
      <x:c r="J21" s="19" t="n">
        <x:f>H21/10^9</x:f>
        <x:v>11.06618754186</x:v>
      </x:c>
      <x:c r="K21" s="28" t="n">
        <x:f>(H21-G21)/G21</x:f>
        <x:v>0.001320583111128722</x:v>
      </x:c>
    </x:row>
    <x:row r="22" ht="22" customHeight="1">
      <x:c r="A22" s="15" t="str">
        <x:v>Япония</x:v>
      </x:c>
      <x:c r="B22" s="18" t="n">
        <x:v>2019</x:v>
      </x:c>
      <x:c r="C22" s="15" t="str">
        <x:v>854233</x:v>
      </x:c>
      <x:c r="D22" s="15" t="str">
        <x:v>Основной</x:v>
      </x:c>
      <x:c r="E22" s="18" t="n">
        <x:v>12</x:v>
      </x:c>
      <x:c r="F22" s="27" t="b">
        <x:v>1</x:v>
      </x:c>
      <x:c r="G22" s="19" t="n">
        <x:v>306732803.998</x:v>
      </x:c>
      <x:c r="H22" s="19" t="n">
        <x:v>307109660.394</x:v>
      </x:c>
      <x:c r="I22" s="19" t="n">
        <x:f>G22/10^9</x:f>
        <x:v>0.306732803998</x:v>
      </x:c>
      <x:c r="J22" s="19" t="n">
        <x:f>H22/10^9</x:f>
        <x:v>0.307109660394</x:v>
      </x:c>
      <x:c r="K22" s="28" t="n">
        <x:f>(H22-G22)/G22</x:f>
        <x:v>0.0012286145827507425</x:v>
      </x:c>
    </x:row>
    <x:row r="23" ht="22" customHeight="1">
      <x:c r="A23" s="15" t="str">
        <x:v>Япония</x:v>
      </x:c>
      <x:c r="B23" s="18" t="n">
        <x:v>2019</x:v>
      </x:c>
      <x:c r="C23" s="15" t="str">
        <x:v>854239</x:v>
      </x:c>
      <x:c r="D23" s="15" t="str">
        <x:v>Основной</x:v>
      </x:c>
      <x:c r="E23" s="18" t="n">
        <x:v>12</x:v>
      </x:c>
      <x:c r="F23" s="27" t="b">
        <x:v>1</x:v>
      </x:c>
      <x:c r="G23" s="19" t="n">
        <x:v>11519539973.077</x:v>
      </x:c>
      <x:c r="H23" s="19" t="n">
        <x:v>11535881593.187</x:v>
      </x:c>
      <x:c r="I23" s="19" t="n">
        <x:f>G23/10^9</x:f>
        <x:v>11.519539973077</x:v>
      </x:c>
      <x:c r="J23" s="19" t="n">
        <x:f>H23/10^9</x:f>
        <x:v>11.535881593187</x:v>
      </x:c>
      <x:c r="K23" s="28" t="n">
        <x:f>(H23-G23)/G23</x:f>
        <x:v>0.0014186000611303559</x:v>
      </x:c>
    </x:row>
    <x:row r="24" ht="22" customHeight="1">
      <x:c r="A24" s="15" t="str">
        <x:v>Япония</x:v>
      </x:c>
      <x:c r="B24" s="18" t="n">
        <x:v>2019</x:v>
      </x:c>
      <x:c r="C24" s="15" t="str">
        <x:v>854290</x:v>
      </x:c>
      <x:c r="D24" s="15" t="str">
        <x:v>Контрольный</x:v>
      </x:c>
      <x:c r="E24" s="18" t="n">
        <x:v>12</x:v>
      </x:c>
      <x:c r="F24" s="27" t="b">
        <x:v>1</x:v>
      </x:c>
      <x:c r="G24" s="19" t="n">
        <x:v>1767734611.329</x:v>
      </x:c>
      <x:c r="H24" s="19" t="n">
        <x:v>1769374288.297</x:v>
      </x:c>
      <x:c r="I24" s="19" t="n">
        <x:f>G24/10^9</x:f>
        <x:v>1.767734611329</x:v>
      </x:c>
      <x:c r="J24" s="19" t="n">
        <x:f>H24/10^9</x:f>
        <x:v>1.7693742882969998</x:v>
      </x:c>
      <x:c r="K24" s="28" t="n">
        <x:f>(H24-G24)/G24</x:f>
        <x:v>0.0009275583322811167</x:v>
      </x:c>
    </x:row>
    <x:row r="25" ht="22" customHeight="1">
      <x:c r="A25" s="15" t="str">
        <x:v>Япония</x:v>
      </x:c>
      <x:c r="B25" s="18" t="n">
        <x:v>2020</x:v>
      </x:c>
      <x:c r="C25" s="15" t="str">
        <x:v>8542</x:v>
      </x:c>
      <x:c r="D25" s="15" t="str">
        <x:v>Контрольный</x:v>
      </x:c>
      <x:c r="E25" s="18" t="n">
        <x:v>12</x:v>
      </x:c>
      <x:c r="F25" s="27" t="b">
        <x:v>1</x:v>
      </x:c>
      <x:c r="G25" s="19" t="n">
        <x:v>28880685724.671</x:v>
      </x:c>
      <x:c r="H25" s="19" t="n">
        <x:v>28884741104.619</x:v>
      </x:c>
      <x:c r="I25" s="19" t="n">
        <x:f>G25/10^9</x:f>
        <x:v>28.880685724671</x:v>
      </x:c>
      <x:c r="J25" s="19" t="n">
        <x:f>H25/10^9</x:f>
        <x:v>28.884741104619</x:v>
      </x:c>
      <x:c r="K25" s="28" t="n">
        <x:f>(H25-G25)/G25</x:f>
        <x:v>0.0001404184092669858</x:v>
      </x:c>
    </x:row>
    <x:row r="26" ht="22" customHeight="1">
      <x:c r="A26" s="15" t="str">
        <x:v>Япония</x:v>
      </x:c>
      <x:c r="B26" s="18" t="n">
        <x:v>2020</x:v>
      </x:c>
      <x:c r="C26" s="15" t="str">
        <x:v>854231</x:v>
      </x:c>
      <x:c r="D26" s="15" t="str">
        <x:v>Основной</x:v>
      </x:c>
      <x:c r="E26" s="18" t="n">
        <x:v>12</x:v>
      </x:c>
      <x:c r="F26" s="27" t="b">
        <x:v>1</x:v>
      </x:c>
      <x:c r="G26" s="19" t="n">
        <x:v>2775373746.037</x:v>
      </x:c>
      <x:c r="H26" s="19" t="n">
        <x:v>2775168156.553</x:v>
      </x:c>
      <x:c r="I26" s="19" t="n">
        <x:f>G26/10^9</x:f>
        <x:v>2.7753737460370003</x:v>
      </x:c>
      <x:c r="J26" s="19" t="n">
        <x:f>H26/10^9</x:f>
        <x:v>2.7751681565529998</x:v>
      </x:c>
      <x:c r="K26" s="28" t="n">
        <x:f>(H26-G26)/G26</x:f>
        <x:v>-0.00007407632370010361</x:v>
      </x:c>
    </x:row>
    <x:row r="27" ht="22" customHeight="1">
      <x:c r="A27" s="15" t="str">
        <x:v>Япония</x:v>
      </x:c>
      <x:c r="B27" s="18" t="n">
        <x:v>2020</x:v>
      </x:c>
      <x:c r="C27" s="15" t="str">
        <x:v>854232</x:v>
      </x:c>
      <x:c r="D27" s="15" t="str">
        <x:v>Основной</x:v>
      </x:c>
      <x:c r="E27" s="18" t="n">
        <x:v>12</x:v>
      </x:c>
      <x:c r="F27" s="27" t="b">
        <x:v>1</x:v>
      </x:c>
      <x:c r="G27" s="19" t="n">
        <x:v>12254499941.069</x:v>
      </x:c>
      <x:c r="H27" s="19" t="n">
        <x:v>12246854060.259</x:v>
      </x:c>
      <x:c r="I27" s="19" t="n">
        <x:f>G27/10^9</x:f>
        <x:v>12.254499941069</x:v>
      </x:c>
      <x:c r="J27" s="19" t="n">
        <x:f>H27/10^9</x:f>
        <x:v>12.246854060259</x:v>
      </x:c>
      <x:c r="K27" s="28" t="n">
        <x:f>(H27-G27)/G27</x:f>
        <x:v>-0.0006239243418146764</x:v>
      </x:c>
    </x:row>
    <x:row r="28" ht="22" customHeight="1">
      <x:c r="A28" s="15" t="str">
        <x:v>Япония</x:v>
      </x:c>
      <x:c r="B28" s="18" t="n">
        <x:v>2020</x:v>
      </x:c>
      <x:c r="C28" s="15" t="str">
        <x:v>854233</x:v>
      </x:c>
      <x:c r="D28" s="15" t="str">
        <x:v>Основной</x:v>
      </x:c>
      <x:c r="E28" s="18" t="n">
        <x:v>12</x:v>
      </x:c>
      <x:c r="F28" s="27" t="b">
        <x:v>1</x:v>
      </x:c>
      <x:c r="G28" s="19" t="n">
        <x:v>283356616.587</x:v>
      </x:c>
      <x:c r="H28" s="19" t="n">
        <x:v>283367204.48</x:v>
      </x:c>
      <x:c r="I28" s="19" t="n">
        <x:f>G28/10^9</x:f>
        <x:v>0.283356616587</x:v>
      </x:c>
      <x:c r="J28" s="19" t="n">
        <x:f>H28/10^9</x:f>
        <x:v>0.28336720448</x:v>
      </x:c>
      <x:c r="K28" s="28" t="n">
        <x:f>(H28-G28)/G28</x:f>
        <x:v>0.00003736596352517442</x:v>
      </x:c>
    </x:row>
    <x:row r="29" ht="22" customHeight="1">
      <x:c r="A29" s="15" t="str">
        <x:v>Япония</x:v>
      </x:c>
      <x:c r="B29" s="18" t="n">
        <x:v>2020</x:v>
      </x:c>
      <x:c r="C29" s="15" t="str">
        <x:v>854239</x:v>
      </x:c>
      <x:c r="D29" s="15" t="str">
        <x:v>Основной</x:v>
      </x:c>
      <x:c r="E29" s="18" t="n">
        <x:v>12</x:v>
      </x:c>
      <x:c r="F29" s="27" t="b">
        <x:v>1</x:v>
      </x:c>
      <x:c r="G29" s="19" t="n">
        <x:v>11192839960.044</x:v>
      </x:c>
      <x:c r="H29" s="19" t="n">
        <x:v>11202040959.941</x:v>
      </x:c>
      <x:c r="I29" s="19" t="n">
        <x:f>G29/10^9</x:f>
        <x:v>11.192839960044001</x:v>
      </x:c>
      <x:c r="J29" s="19" t="n">
        <x:f>H29/10^9</x:f>
        <x:v>11.202040959941</x:v>
      </x:c>
      <x:c r="K29" s="28" t="n">
        <x:f>(H29-G29)/G29</x:f>
        <x:v>0.0008220433714629105</x:v>
      </x:c>
    </x:row>
    <x:row r="30" ht="22" customHeight="1">
      <x:c r="A30" s="15" t="str">
        <x:v>Япония</x:v>
      </x:c>
      <x:c r="B30" s="18" t="n">
        <x:v>2020</x:v>
      </x:c>
      <x:c r="C30" s="15" t="str">
        <x:v>854290</x:v>
      </x:c>
      <x:c r="D30" s="15" t="str">
        <x:v>Контрольный</x:v>
      </x:c>
      <x:c r="E30" s="18" t="n">
        <x:v>12</x:v>
      </x:c>
      <x:c r="F30" s="27" t="b">
        <x:v>1</x:v>
      </x:c>
      <x:c r="G30" s="19" t="n">
        <x:v>2374615460.933</x:v>
      </x:c>
      <x:c r="H30" s="19" t="n">
        <x:v>2377310723.386</x:v>
      </x:c>
      <x:c r="I30" s="19" t="n">
        <x:f>G30/10^9</x:f>
        <x:v>2.374615460933</x:v>
      </x:c>
      <x:c r="J30" s="19" t="n">
        <x:f>H30/10^9</x:f>
        <x:v>2.377310723386</x:v>
      </x:c>
      <x:c r="K30" s="28" t="n">
        <x:f>(H30-G30)/G30</x:f>
        <x:v>0.0011350311228669775</x:v>
      </x:c>
    </x:row>
    <x:row r="31" ht="22" customHeight="1">
      <x:c r="A31" s="15" t="str">
        <x:v>Япония</x:v>
      </x:c>
      <x:c r="B31" s="18" t="n">
        <x:v>2021</x:v>
      </x:c>
      <x:c r="C31" s="15" t="str">
        <x:v>8542</x:v>
      </x:c>
      <x:c r="D31" s="15" t="str">
        <x:v>Контрольный</x:v>
      </x:c>
      <x:c r="E31" s="18" t="n">
        <x:v>12</x:v>
      </x:c>
      <x:c r="F31" s="27" t="b">
        <x:v>1</x:v>
      </x:c>
      <x:c r="G31" s="19" t="n">
        <x:v>34011057037.999</x:v>
      </x:c>
      <x:c r="H31" s="19" t="n">
        <x:v>33937539685.632</x:v>
      </x:c>
      <x:c r="I31" s="19" t="n">
        <x:f>G31/10^9</x:f>
        <x:v>34.011057037999</x:v>
      </x:c>
      <x:c r="J31" s="19" t="n">
        <x:f>H31/10^9</x:f>
        <x:v>33.937539685632</x:v>
      </x:c>
      <x:c r="K31" s="28" t="n">
        <x:f>(H31-G31)/G31</x:f>
        <x:v>-0.002161572111236149</x:v>
      </x:c>
    </x:row>
    <x:row r="32" ht="22" customHeight="1">
      <x:c r="A32" s="15" t="str">
        <x:v>Япония</x:v>
      </x:c>
      <x:c r="B32" s="18" t="n">
        <x:v>2021</x:v>
      </x:c>
      <x:c r="C32" s="15" t="str">
        <x:v>854231</x:v>
      </x:c>
      <x:c r="D32" s="15" t="str">
        <x:v>Основной</x:v>
      </x:c>
      <x:c r="E32" s="18" t="n">
        <x:v>12</x:v>
      </x:c>
      <x:c r="F32" s="27" t="b">
        <x:v>1</x:v>
      </x:c>
      <x:c r="G32" s="19" t="n">
        <x:v>3352877524.159</x:v>
      </x:c>
      <x:c r="H32" s="19" t="n">
        <x:v>3348191751.453</x:v>
      </x:c>
      <x:c r="I32" s="19" t="n">
        <x:f>G32/10^9</x:f>
        <x:v>3.352877524159</x:v>
      </x:c>
      <x:c r="J32" s="19" t="n">
        <x:f>H32/10^9</x:f>
        <x:v>3.348191751453</x:v>
      </x:c>
      <x:c r="K32" s="28" t="n">
        <x:f>(H32-G32)/G32</x:f>
        <x:v>-0.001397537688817065</x:v>
      </x:c>
    </x:row>
    <x:row r="33" ht="22" customHeight="1">
      <x:c r="A33" s="15" t="str">
        <x:v>Япония</x:v>
      </x:c>
      <x:c r="B33" s="18" t="n">
        <x:v>2021</x:v>
      </x:c>
      <x:c r="C33" s="15" t="str">
        <x:v>854232</x:v>
      </x:c>
      <x:c r="D33" s="15" t="str">
        <x:v>Основной</x:v>
      </x:c>
      <x:c r="E33" s="18" t="n">
        <x:v>12</x:v>
      </x:c>
      <x:c r="F33" s="27" t="b">
        <x:v>1</x:v>
      </x:c>
      <x:c r="G33" s="19" t="n">
        <x:v>14685279538.445</x:v>
      </x:c>
      <x:c r="H33" s="19" t="n">
        <x:v>14662025557.083</x:v>
      </x:c>
      <x:c r="I33" s="19" t="n">
        <x:f>G33/10^9</x:f>
        <x:v>14.685279538445</x:v>
      </x:c>
      <x:c r="J33" s="19" t="n">
        <x:f>H33/10^9</x:f>
        <x:v>14.662025557083</x:v>
      </x:c>
      <x:c r="K33" s="28" t="n">
        <x:f>(H33-G33)/G33</x:f>
        <x:v>-0.0015834891873268242</x:v>
      </x:c>
    </x:row>
    <x:row r="34" ht="22" customHeight="1">
      <x:c r="A34" s="15" t="str">
        <x:v>Япония</x:v>
      </x:c>
      <x:c r="B34" s="18" t="n">
        <x:v>2021</x:v>
      </x:c>
      <x:c r="C34" s="15" t="str">
        <x:v>854233</x:v>
      </x:c>
      <x:c r="D34" s="15" t="str">
        <x:v>Основной</x:v>
      </x:c>
      <x:c r="E34" s="18" t="n">
        <x:v>12</x:v>
      </x:c>
      <x:c r="F34" s="27" t="b">
        <x:v>1</x:v>
      </x:c>
      <x:c r="G34" s="19" t="n">
        <x:v>272914036.434</x:v>
      </x:c>
      <x:c r="H34" s="19" t="n">
        <x:v>273095901.438</x:v>
      </x:c>
      <x:c r="I34" s="19" t="n">
        <x:f>G34/10^9</x:f>
        <x:v>0.27291403643400003</x:v>
      </x:c>
      <x:c r="J34" s="19" t="n">
        <x:f>H34/10^9</x:f>
        <x:v>0.273095901438</x:v>
      </x:c>
      <x:c r="K34" s="28" t="n">
        <x:f>(H34-G34)/G34</x:f>
        <x:v>0.0006663820094280468</x:v>
      </x:c>
    </x:row>
    <x:row r="35" ht="22" customHeight="1">
      <x:c r="A35" s="15" t="str">
        <x:v>Япония</x:v>
      </x:c>
      <x:c r="B35" s="18" t="n">
        <x:v>2021</x:v>
      </x:c>
      <x:c r="C35" s="15" t="str">
        <x:v>854239</x:v>
      </x:c>
      <x:c r="D35" s="15" t="str">
        <x:v>Основной</x:v>
      </x:c>
      <x:c r="E35" s="18" t="n">
        <x:v>12</x:v>
      </x:c>
      <x:c r="F35" s="27" t="b">
        <x:v>1</x:v>
      </x:c>
      <x:c r="G35" s="19" t="n">
        <x:v>12175928126.72</x:v>
      </x:c>
      <x:c r="H35" s="19" t="n">
        <x:v>12142137464.586</x:v>
      </x:c>
      <x:c r="I35" s="19" t="n">
        <x:f>G35/10^9</x:f>
        <x:v>12.175928126719999</x:v>
      </x:c>
      <x:c r="J35" s="19" t="n">
        <x:f>H35/10^9</x:f>
        <x:v>12.142137464586</x:v>
      </x:c>
      <x:c r="K35" s="28" t="n">
        <x:f>(H35-G35)/G35</x:f>
        <x:v>-0.002775202167943606</x:v>
      </x:c>
    </x:row>
    <x:row r="36" ht="22" customHeight="1">
      <x:c r="A36" s="15" t="str">
        <x:v>Япония</x:v>
      </x:c>
      <x:c r="B36" s="18" t="n">
        <x:v>2021</x:v>
      </x:c>
      <x:c r="C36" s="15" t="str">
        <x:v>854290</x:v>
      </x:c>
      <x:c r="D36" s="15" t="str">
        <x:v>Контрольный</x:v>
      </x:c>
      <x:c r="E36" s="18" t="n">
        <x:v>12</x:v>
      </x:c>
      <x:c r="F36" s="27" t="b">
        <x:v>1</x:v>
      </x:c>
      <x:c r="G36" s="19" t="n">
        <x:v>3524057812.241</x:v>
      </x:c>
      <x:c r="H36" s="19" t="n">
        <x:v>3512089011.073</x:v>
      </x:c>
      <x:c r="I36" s="19" t="n">
        <x:f>G36/10^9</x:f>
        <x:v>3.5240578122410002</x:v>
      </x:c>
      <x:c r="J36" s="19" t="n">
        <x:f>H36/10^9</x:f>
        <x:v>3.512089011073</x:v>
      </x:c>
      <x:c r="K36" s="28" t="n">
        <x:f>(H36-G36)/G36</x:f>
        <x:v>-0.003396312377857696</x:v>
      </x:c>
    </x:row>
    <x:row r="37" ht="22" customHeight="1">
      <x:c r="A37" s="15" t="str">
        <x:v>Япония</x:v>
      </x:c>
      <x:c r="B37" s="18" t="n">
        <x:v>2022</x:v>
      </x:c>
      <x:c r="C37" s="15" t="str">
        <x:v>8542</x:v>
      </x:c>
      <x:c r="D37" s="15" t="str">
        <x:v>Контрольный</x:v>
      </x:c>
      <x:c r="E37" s="18" t="n">
        <x:v>12</x:v>
      </x:c>
      <x:c r="F37" s="27" t="b">
        <x:v>1</x:v>
      </x:c>
      <x:c r="G37" s="19" t="n">
        <x:v>33627038485.197</x:v>
      </x:c>
      <x:c r="H37" s="19" t="n">
        <x:v>33564175685.432</x:v>
      </x:c>
      <x:c r="I37" s="19" t="n">
        <x:f>G37/10^9</x:f>
        <x:v>33.627038485197</x:v>
      </x:c>
      <x:c r="J37" s="19" t="n">
        <x:f>H37/10^9</x:f>
        <x:v>33.564175685432</x:v>
      </x:c>
      <x:c r="K37" s="28" t="n">
        <x:f>(H37-G37)/G37</x:f>
        <x:v>-0.0018694123121390039</x:v>
      </x:c>
    </x:row>
    <x:row r="38" ht="22" customHeight="1">
      <x:c r="A38" s="15" t="str">
        <x:v>Япония</x:v>
      </x:c>
      <x:c r="B38" s="18" t="n">
        <x:v>2022</x:v>
      </x:c>
      <x:c r="C38" s="15" t="str">
        <x:v>854231</x:v>
      </x:c>
      <x:c r="D38" s="15" t="str">
        <x:v>Основной</x:v>
      </x:c>
      <x:c r="E38" s="18" t="n">
        <x:v>12</x:v>
      </x:c>
      <x:c r="F38" s="27" t="b">
        <x:v>1</x:v>
      </x:c>
      <x:c r="G38" s="19" t="n">
        <x:v>3557238318.625</x:v>
      </x:c>
      <x:c r="H38" s="19" t="n">
        <x:v>3558531443.981</x:v>
      </x:c>
      <x:c r="I38" s="19" t="n">
        <x:f>G38/10^9</x:f>
        <x:v>3.557238318625</x:v>
      </x:c>
      <x:c r="J38" s="19" t="n">
        <x:f>H38/10^9</x:f>
        <x:v>3.558531443981</x:v>
      </x:c>
      <x:c r="K38" s="28" t="n">
        <x:f>(H38-G38)/G38</x:f>
        <x:v>0.00036351946093389264</x:v>
      </x:c>
    </x:row>
    <x:row r="39" ht="22" customHeight="1">
      <x:c r="A39" s="15" t="str">
        <x:v>Япония</x:v>
      </x:c>
      <x:c r="B39" s="18" t="n">
        <x:v>2022</x:v>
      </x:c>
      <x:c r="C39" s="15" t="str">
        <x:v>854232</x:v>
      </x:c>
      <x:c r="D39" s="15" t="str">
        <x:v>Основной</x:v>
      </x:c>
      <x:c r="E39" s="18" t="n">
        <x:v>12</x:v>
      </x:c>
      <x:c r="F39" s="27" t="b">
        <x:v>1</x:v>
      </x:c>
      <x:c r="G39" s="19" t="n">
        <x:v>13382691680.356</x:v>
      </x:c>
      <x:c r="H39" s="19" t="n">
        <x:v>13412623075.508</x:v>
      </x:c>
      <x:c r="I39" s="19" t="n">
        <x:f>G39/10^9</x:f>
        <x:v>13.382691680356</x:v>
      </x:c>
      <x:c r="J39" s="19" t="n">
        <x:f>H39/10^9</x:f>
        <x:v>13.412623075508</x:v>
      </x:c>
      <x:c r="K39" s="28" t="n">
        <x:f>(H39-G39)/G39</x:f>
        <x:v>0.0022365751126086093</x:v>
      </x:c>
    </x:row>
    <x:row r="40" ht="22" customHeight="1">
      <x:c r="A40" s="15" t="str">
        <x:v>Япония</x:v>
      </x:c>
      <x:c r="B40" s="18" t="n">
        <x:v>2022</x:v>
      </x:c>
      <x:c r="C40" s="15" t="str">
        <x:v>854233</x:v>
      </x:c>
      <x:c r="D40" s="15" t="str">
        <x:v>Основной</x:v>
      </x:c>
      <x:c r="E40" s="18" t="n">
        <x:v>12</x:v>
      </x:c>
      <x:c r="F40" s="27" t="b">
        <x:v>1</x:v>
      </x:c>
      <x:c r="G40" s="19" t="n">
        <x:v>246275481.271</x:v>
      </x:c>
      <x:c r="H40" s="19" t="n">
        <x:v>247256649.218</x:v>
      </x:c>
      <x:c r="I40" s="19" t="n">
        <x:f>G40/10^9</x:f>
        <x:v>0.246275481271</x:v>
      </x:c>
      <x:c r="J40" s="19" t="n">
        <x:f>H40/10^9</x:f>
        <x:v>0.247256649218</x:v>
      </x:c>
      <x:c r="K40" s="28" t="n">
        <x:f>(H40-G40)/G40</x:f>
        <x:v>0.003984026107415564</x:v>
      </x:c>
    </x:row>
    <x:row r="41" ht="22" customHeight="1">
      <x:c r="A41" s="15" t="str">
        <x:v>Япония</x:v>
      </x:c>
      <x:c r="B41" s="18" t="n">
        <x:v>2022</x:v>
      </x:c>
      <x:c r="C41" s="15" t="str">
        <x:v>854239</x:v>
      </x:c>
      <x:c r="D41" s="15" t="str">
        <x:v>Основной</x:v>
      </x:c>
      <x:c r="E41" s="18" t="n">
        <x:v>12</x:v>
      </x:c>
      <x:c r="F41" s="27" t="b">
        <x:v>1</x:v>
      </x:c>
      <x:c r="G41" s="19" t="n">
        <x:v>13043068182.81</x:v>
      </x:c>
      <x:c r="H41" s="19" t="n">
        <x:v>12939649555.301</x:v>
      </x:c>
      <x:c r="I41" s="19" t="n">
        <x:f>G41/10^9</x:f>
        <x:v>13.04306818281</x:v>
      </x:c>
      <x:c r="J41" s="19" t="n">
        <x:f>H41/10^9</x:f>
        <x:v>12.939649555301001</x:v>
      </x:c>
      <x:c r="K41" s="28" t="n">
        <x:f>(H41-G41)/G41</x:f>
        <x:v>-0.007929010725045397</x:v>
      </x:c>
    </x:row>
    <x:row r="42" ht="22" customHeight="1">
      <x:c r="A42" s="15" t="str">
        <x:v>Япония</x:v>
      </x:c>
      <x:c r="B42" s="18" t="n">
        <x:v>2022</x:v>
      </x:c>
      <x:c r="C42" s="15" t="str">
        <x:v>854290</x:v>
      </x:c>
      <x:c r="D42" s="15" t="str">
        <x:v>Контрольный</x:v>
      </x:c>
      <x:c r="E42" s="18" t="n">
        <x:v>12</x:v>
      </x:c>
      <x:c r="F42" s="27" t="b">
        <x:v>1</x:v>
      </x:c>
      <x:c r="G42" s="19" t="n">
        <x:v>3397764822.135</x:v>
      </x:c>
      <x:c r="H42" s="19" t="n">
        <x:v>3406114961.425</x:v>
      </x:c>
      <x:c r="I42" s="19" t="n">
        <x:f>G42/10^9</x:f>
        <x:v>3.397764822135</x:v>
      </x:c>
      <x:c r="J42" s="19" t="n">
        <x:f>H42/10^9</x:f>
        <x:v>3.406114961425</x:v>
      </x:c>
      <x:c r="K42" s="28" t="n">
        <x:f>(H42-G42)/G42</x:f>
        <x:v>0.002457538919586882</x:v>
      </x:c>
    </x:row>
    <x:row r="43" ht="22" customHeight="1">
      <x:c r="A43" s="15" t="str">
        <x:v>Япония</x:v>
      </x:c>
      <x:c r="B43" s="18" t="n">
        <x:v>2023</x:v>
      </x:c>
      <x:c r="C43" s="15" t="str">
        <x:v>8542</x:v>
      </x:c>
      <x:c r="D43" s="15" t="str">
        <x:v>Контрольный</x:v>
      </x:c>
      <x:c r="E43" s="18" t="n">
        <x:v>12</x:v>
      </x:c>
      <x:c r="F43" s="27" t="b">
        <x:v>1</x:v>
      </x:c>
      <x:c r="G43" s="19" t="n">
        <x:v>30788027604.499</x:v>
      </x:c>
      <x:c r="H43" s="19" t="n">
        <x:v>30788027604.499</x:v>
      </x:c>
      <x:c r="I43" s="19" t="n">
        <x:f>G43/10^9</x:f>
        <x:v>30.788027604499</x:v>
      </x:c>
      <x:c r="J43" s="19" t="n">
        <x:f>H43/10^9</x:f>
        <x:v>30.788027604499</x:v>
      </x:c>
      <x:c r="K43" s="28" t="n">
        <x:f>(H43-G43)/G43</x:f>
        <x:v>0</x:v>
      </x:c>
    </x:row>
    <x:row r="44" ht="22" customHeight="1">
      <x:c r="A44" s="15" t="str">
        <x:v>Япония</x:v>
      </x:c>
      <x:c r="B44" s="18" t="n">
        <x:v>2023</x:v>
      </x:c>
      <x:c r="C44" s="15" t="str">
        <x:v>854231</x:v>
      </x:c>
      <x:c r="D44" s="15" t="str">
        <x:v>Основной</x:v>
      </x:c>
      <x:c r="E44" s="18" t="n">
        <x:v>12</x:v>
      </x:c>
      <x:c r="F44" s="27" t="b">
        <x:v>1</x:v>
      </x:c>
      <x:c r="G44" s="19" t="n">
        <x:v>3257857459.984</x:v>
      </x:c>
      <x:c r="H44" s="19" t="n">
        <x:v>3257857459.985</x:v>
      </x:c>
      <x:c r="I44" s="19" t="n">
        <x:f>G44/10^9</x:f>
        <x:v>3.2578574599840002</x:v>
      </x:c>
      <x:c r="J44" s="19" t="n">
        <x:f>H44/10^9</x:f>
        <x:v>3.2578574599850003</x:v>
      </x:c>
      <x:c r="K44" s="28" t="n">
        <x:f>(H44-G44)/G44</x:f>
        <x:v>3.0692795281376856e-13</x:v>
      </x:c>
    </x:row>
    <x:row r="45" ht="22" customHeight="1">
      <x:c r="A45" s="15" t="str">
        <x:v>Япония</x:v>
      </x:c>
      <x:c r="B45" s="18" t="n">
        <x:v>2023</x:v>
      </x:c>
      <x:c r="C45" s="15" t="str">
        <x:v>854232</x:v>
      </x:c>
      <x:c r="D45" s="15" t="str">
        <x:v>Основной</x:v>
      </x:c>
      <x:c r="E45" s="18" t="n">
        <x:v>12</x:v>
      </x:c>
      <x:c r="F45" s="27" t="b">
        <x:v>1</x:v>
      </x:c>
      <x:c r="G45" s="19" t="n">
        <x:v>11497205741.771</x:v>
      </x:c>
      <x:c r="H45" s="19" t="n">
        <x:v>11497205741.771</x:v>
      </x:c>
      <x:c r="I45" s="19" t="n">
        <x:f>G45/10^9</x:f>
        <x:v>11.497205741771</x:v>
      </x:c>
      <x:c r="J45" s="19" t="n">
        <x:f>H45/10^9</x:f>
        <x:v>11.497205741771</x:v>
      </x:c>
      <x:c r="K45" s="28" t="n">
        <x:f>(H45-G45)/G45</x:f>
        <x:v>0</x:v>
      </x:c>
    </x:row>
    <x:row r="46" ht="22" customHeight="1">
      <x:c r="A46" s="15" t="str">
        <x:v>Япония</x:v>
      </x:c>
      <x:c r="B46" s="18" t="n">
        <x:v>2023</x:v>
      </x:c>
      <x:c r="C46" s="15" t="str">
        <x:v>854233</x:v>
      </x:c>
      <x:c r="D46" s="15" t="str">
        <x:v>Основной</x:v>
      </x:c>
      <x:c r="E46" s="18" t="n">
        <x:v>12</x:v>
      </x:c>
      <x:c r="F46" s="27" t="b">
        <x:v>1</x:v>
      </x:c>
      <x:c r="G46" s="19" t="n">
        <x:v>239028381.968</x:v>
      </x:c>
      <x:c r="H46" s="19" t="n">
        <x:v>239028381.968</x:v>
      </x:c>
      <x:c r="I46" s="19" t="n">
        <x:f>G46/10^9</x:f>
        <x:v>0.239028381968</x:v>
      </x:c>
      <x:c r="J46" s="19" t="n">
        <x:f>H46/10^9</x:f>
        <x:v>0.239028381968</x:v>
      </x:c>
      <x:c r="K46" s="28" t="n">
        <x:f>(H46-G46)/G46</x:f>
        <x:v>0</x:v>
      </x:c>
    </x:row>
    <x:row r="47" ht="22" customHeight="1">
      <x:c r="A47" s="15" t="str">
        <x:v>Япония</x:v>
      </x:c>
      <x:c r="B47" s="18" t="n">
        <x:v>2023</x:v>
      </x:c>
      <x:c r="C47" s="15" t="str">
        <x:v>854239</x:v>
      </x:c>
      <x:c r="D47" s="15" t="str">
        <x:v>Основной</x:v>
      </x:c>
      <x:c r="E47" s="18" t="n">
        <x:v>12</x:v>
      </x:c>
      <x:c r="F47" s="27" t="b">
        <x:v>1</x:v>
      </x:c>
      <x:c r="G47" s="19" t="n">
        <x:v>13401114246.508</x:v>
      </x:c>
      <x:c r="H47" s="19" t="n">
        <x:v>13401114246.508</x:v>
      </x:c>
      <x:c r="I47" s="19" t="n">
        <x:f>G47/10^9</x:f>
        <x:v>13.401114246508</x:v>
      </x:c>
      <x:c r="J47" s="19" t="n">
        <x:f>H47/10^9</x:f>
        <x:v>13.401114246508</x:v>
      </x:c>
      <x:c r="K47" s="28" t="n">
        <x:f>(H47-G47)/G47</x:f>
        <x:v>0</x:v>
      </x:c>
    </x:row>
    <x:row r="48" ht="22" customHeight="1">
      <x:c r="A48" s="15" t="str">
        <x:v>Япония</x:v>
      </x:c>
      <x:c r="B48" s="18" t="n">
        <x:v>2023</x:v>
      </x:c>
      <x:c r="C48" s="15" t="str">
        <x:v>854290</x:v>
      </x:c>
      <x:c r="D48" s="15" t="str">
        <x:v>Контрольный</x:v>
      </x:c>
      <x:c r="E48" s="18" t="n">
        <x:v>12</x:v>
      </x:c>
      <x:c r="F48" s="27" t="b">
        <x:v>1</x:v>
      </x:c>
      <x:c r="G48" s="19" t="n">
        <x:v>2392821774.268</x:v>
      </x:c>
      <x:c r="H48" s="19" t="n">
        <x:v>2392821774.269</x:v>
      </x:c>
      <x:c r="I48" s="19" t="n">
        <x:f>G48/10^9</x:f>
        <x:v>2.392821774268</x:v>
      </x:c>
      <x:c r="J48" s="19" t="n">
        <x:f>H48/10^9</x:f>
        <x:v>2.392821774269</x:v>
      </x:c>
      <x:c r="K48" s="28" t="n">
        <x:f>(H48-G48)/G48</x:f>
        <x:v>4.1788633466353584e-13</x:v>
      </x:c>
    </x:row>
    <x:row r="49" ht="22" customHeight="1">
      <x:c r="A49" s="15" t="str">
        <x:v>Япония</x:v>
      </x:c>
      <x:c r="B49" s="18" t="n">
        <x:v>2024</x:v>
      </x:c>
      <x:c r="C49" s="15" t="str">
        <x:v>8542</x:v>
      </x:c>
      <x:c r="D49" s="15" t="str">
        <x:v>Контрольный</x:v>
      </x:c>
      <x:c r="E49" s="18" t="n">
        <x:v>12</x:v>
      </x:c>
      <x:c r="F49" s="27" t="b">
        <x:v>1</x:v>
      </x:c>
      <x:c r="G49" s="19" t="n">
        <x:v>32453870194.696</x:v>
      </x:c>
      <x:c r="H49" s="19" t="n">
        <x:v>32496832627.813</x:v>
      </x:c>
      <x:c r="I49" s="19" t="n">
        <x:f>G49/10^9</x:f>
        <x:v>32.453870194696</x:v>
      </x:c>
      <x:c r="J49" s="19" t="n">
        <x:f>H49/10^9</x:f>
        <x:v>32.496832627813</x:v>
      </x:c>
      <x:c r="K49" s="28" t="n">
        <x:f>(H49-G49)/G49</x:f>
        <x:v>0.001323799992397271</x:v>
      </x:c>
    </x:row>
    <x:row r="50" ht="22" customHeight="1">
      <x:c r="A50" s="15" t="str">
        <x:v>Япония</x:v>
      </x:c>
      <x:c r="B50" s="18" t="n">
        <x:v>2024</x:v>
      </x:c>
      <x:c r="C50" s="15" t="str">
        <x:v>854231</x:v>
      </x:c>
      <x:c r="D50" s="15" t="str">
        <x:v>Основной</x:v>
      </x:c>
      <x:c r="E50" s="18" t="n">
        <x:v>12</x:v>
      </x:c>
      <x:c r="F50" s="27" t="b">
        <x:v>1</x:v>
      </x:c>
      <x:c r="G50" s="19" t="n">
        <x:v>3035926958.487</x:v>
      </x:c>
      <x:c r="H50" s="19" t="n">
        <x:v>3035115133.018</x:v>
      </x:c>
      <x:c r="I50" s="19" t="n">
        <x:f>G50/10^9</x:f>
        <x:v>3.035926958487</x:v>
      </x:c>
      <x:c r="J50" s="19" t="n">
        <x:f>H50/10^9</x:f>
        <x:v>3.035115133018</x:v>
      </x:c>
      <x:c r="K50" s="28" t="n">
        <x:f>(H50-G50)/G50</x:f>
        <x:v>-0.00026740612672857195</x:v>
      </x:c>
    </x:row>
    <x:row r="51" ht="22" customHeight="1">
      <x:c r="A51" s="15" t="str">
        <x:v>Япония</x:v>
      </x:c>
      <x:c r="B51" s="18" t="n">
        <x:v>2024</x:v>
      </x:c>
      <x:c r="C51" s="15" t="str">
        <x:v>854232</x:v>
      </x:c>
      <x:c r="D51" s="15" t="str">
        <x:v>Основной</x:v>
      </x:c>
      <x:c r="E51" s="18" t="n">
        <x:v>12</x:v>
      </x:c>
      <x:c r="F51" s="27" t="b">
        <x:v>1</x:v>
      </x:c>
      <x:c r="G51" s="19" t="n">
        <x:v>12894381497.837</x:v>
      </x:c>
      <x:c r="H51" s="19" t="n">
        <x:v>12899515010.299</x:v>
      </x:c>
      <x:c r="I51" s="19" t="n">
        <x:f>G51/10^9</x:f>
        <x:v>12.894381497837</x:v>
      </x:c>
      <x:c r="J51" s="19" t="n">
        <x:f>H51/10^9</x:f>
        <x:v>12.899515010299</x:v>
      </x:c>
      <x:c r="K51" s="28" t="n">
        <x:f>(H51-G51)/G51</x:f>
        <x:v>0.0003981201008253887</x:v>
      </x:c>
    </x:row>
    <x:row r="52" ht="22" customHeight="1">
      <x:c r="A52" s="15" t="str">
        <x:v>Япония</x:v>
      </x:c>
      <x:c r="B52" s="18" t="n">
        <x:v>2024</x:v>
      </x:c>
      <x:c r="C52" s="15" t="str">
        <x:v>854233</x:v>
      </x:c>
      <x:c r="D52" s="15" t="str">
        <x:v>Основной</x:v>
      </x:c>
      <x:c r="E52" s="18" t="n">
        <x:v>12</x:v>
      </x:c>
      <x:c r="F52" s="27" t="b">
        <x:v>1</x:v>
      </x:c>
      <x:c r="G52" s="19" t="n">
        <x:v>209264171.287</x:v>
      </x:c>
      <x:c r="H52" s="19" t="n">
        <x:v>209322164.35</x:v>
      </x:c>
      <x:c r="I52" s="19" t="n">
        <x:f>G52/10^9</x:f>
        <x:v>0.209264171287</x:v>
      </x:c>
      <x:c r="J52" s="19" t="n">
        <x:f>H52/10^9</x:f>
        <x:v>0.20932216435</x:v>
      </x:c>
      <x:c r="K52" s="28" t="n">
        <x:f>(H52-G52)/G52</x:f>
        <x:v>0.0002771284861776825</x:v>
      </x:c>
    </x:row>
    <x:row r="53" ht="22" customHeight="1">
      <x:c r="A53" s="15" t="str">
        <x:v>Япония</x:v>
      </x:c>
      <x:c r="B53" s="18" t="n">
        <x:v>2024</x:v>
      </x:c>
      <x:c r="C53" s="15" t="str">
        <x:v>854239</x:v>
      </x:c>
      <x:c r="D53" s="15" t="str">
        <x:v>Основной</x:v>
      </x:c>
      <x:c r="E53" s="18" t="n">
        <x:v>12</x:v>
      </x:c>
      <x:c r="F53" s="27" t="b">
        <x:v>1</x:v>
      </x:c>
      <x:c r="G53" s="19" t="n">
        <x:v>14196143657.666</x:v>
      </x:c>
      <x:c r="H53" s="19" t="n">
        <x:v>14233996108.645</x:v>
      </x:c>
      <x:c r="I53" s="19" t="n">
        <x:f>G53/10^9</x:f>
        <x:v>14.196143657666001</x:v>
      </x:c>
      <x:c r="J53" s="19" t="n">
        <x:f>H53/10^9</x:f>
        <x:v>14.233996108645</x:v>
      </x:c>
      <x:c r="K53" s="28" t="n">
        <x:f>(H53-G53)/G53</x:f>
        <x:v>0.002666389682423335</x:v>
      </x:c>
    </x:row>
    <x:row r="54" ht="22" customHeight="1">
      <x:c r="A54" s="15" t="str">
        <x:v>Япония</x:v>
      </x:c>
      <x:c r="B54" s="18" t="n">
        <x:v>2024</x:v>
      </x:c>
      <x:c r="C54" s="15" t="str">
        <x:v>854290</x:v>
      </x:c>
      <x:c r="D54" s="15" t="str">
        <x:v>Контрольный</x:v>
      </x:c>
      <x:c r="E54" s="18" t="n">
        <x:v>12</x:v>
      </x:c>
      <x:c r="F54" s="27" t="b">
        <x:v>1</x:v>
      </x:c>
      <x:c r="G54" s="19" t="n">
        <x:v>2118153909.419</x:v>
      </x:c>
      <x:c r="H54" s="19" t="n">
        <x:v>2118884211.506</x:v>
      </x:c>
      <x:c r="I54" s="19" t="n">
        <x:f>G54/10^9</x:f>
        <x:v>2.118153909419</x:v>
      </x:c>
      <x:c r="J54" s="19" t="n">
        <x:f>H54/10^9</x:f>
        <x:v>2.1188842115060003</x:v>
      </x:c>
      <x:c r="K54" s="28" t="n">
        <x:f>(H54-G54)/G54</x:f>
        <x:v>0.00034478235210039584</x:v>
      </x:c>
    </x:row>
    <x:row r="55" ht="22" customHeight="1">
      <x:c r="A55" s="15" t="str">
        <x:v>Республика Корея</x:v>
      </x:c>
      <x:c r="B55" s="18" t="n">
        <x:v>2017</x:v>
      </x:c>
      <x:c r="C55" s="15" t="str">
        <x:v>8542</x:v>
      </x:c>
      <x:c r="D55" s="15" t="str">
        <x:v>Контрольный</x:v>
      </x:c>
      <x:c r="E55" s="18" t="n">
        <x:v>12</x:v>
      </x:c>
      <x:c r="F55" s="27" t="b">
        <x:v>1</x:v>
      </x:c>
      <x:c r="G55" s="19" t="n">
        <x:v>86103151684</x:v>
      </x:c>
      <x:c r="H55" s="19" t="n">
        <x:v>86103151684</x:v>
      </x:c>
      <x:c r="I55" s="19" t="n">
        <x:f>G55/10^9</x:f>
        <x:v>86.103151684</x:v>
      </x:c>
      <x:c r="J55" s="19" t="n">
        <x:f>H55/10^9</x:f>
        <x:v>86.103151684</x:v>
      </x:c>
      <x:c r="K55" s="28" t="n">
        <x:f>(H55-G55)/G55</x:f>
        <x:v>0</x:v>
      </x:c>
    </x:row>
    <x:row r="56" ht="22" customHeight="1">
      <x:c r="A56" s="15" t="str">
        <x:v>Республика Корея</x:v>
      </x:c>
      <x:c r="B56" s="18" t="n">
        <x:v>2017</x:v>
      </x:c>
      <x:c r="C56" s="15" t="str">
        <x:v>854231</x:v>
      </x:c>
      <x:c r="D56" s="15" t="str">
        <x:v>Основной</x:v>
      </x:c>
      <x:c r="E56" s="18" t="n">
        <x:v>12</x:v>
      </x:c>
      <x:c r="F56" s="27" t="b">
        <x:v>1</x:v>
      </x:c>
      <x:c r="G56" s="19" t="n">
        <x:v>21359845572</x:v>
      </x:c>
      <x:c r="H56" s="19" t="n">
        <x:v>21359845572</x:v>
      </x:c>
      <x:c r="I56" s="19" t="n">
        <x:f>G56/10^9</x:f>
        <x:v>21.359845572</x:v>
      </x:c>
      <x:c r="J56" s="19" t="n">
        <x:f>H56/10^9</x:f>
        <x:v>21.359845572</x:v>
      </x:c>
      <x:c r="K56" s="28" t="n">
        <x:f>(H56-G56)/G56</x:f>
        <x:v>0</x:v>
      </x:c>
    </x:row>
    <x:row r="57" ht="22" customHeight="1">
      <x:c r="A57" s="15" t="str">
        <x:v>Республика Корея</x:v>
      </x:c>
      <x:c r="B57" s="18" t="n">
        <x:v>2017</x:v>
      </x:c>
      <x:c r="C57" s="15" t="str">
        <x:v>854232</x:v>
      </x:c>
      <x:c r="D57" s="15" t="str">
        <x:v>Основной</x:v>
      </x:c>
      <x:c r="E57" s="18" t="n">
        <x:v>12</x:v>
      </x:c>
      <x:c r="F57" s="27" t="b">
        <x:v>1</x:v>
      </x:c>
      <x:c r="G57" s="19" t="n">
        <x:v>60506907883</x:v>
      </x:c>
      <x:c r="H57" s="19" t="n">
        <x:v>60506907883</x:v>
      </x:c>
      <x:c r="I57" s="19" t="n">
        <x:f>G57/10^9</x:f>
        <x:v>60.506907883</x:v>
      </x:c>
      <x:c r="J57" s="19" t="n">
        <x:f>H57/10^9</x:f>
        <x:v>60.506907883</x:v>
      </x:c>
      <x:c r="K57" s="28" t="n">
        <x:f>(H57-G57)/G57</x:f>
        <x:v>0</x:v>
      </x:c>
    </x:row>
    <x:row r="58" ht="22" customHeight="1">
      <x:c r="A58" s="15" t="str">
        <x:v>Республика Корея</x:v>
      </x:c>
      <x:c r="B58" s="18" t="n">
        <x:v>2017</x:v>
      </x:c>
      <x:c r="C58" s="15" t="str">
        <x:v>854233</x:v>
      </x:c>
      <x:c r="D58" s="15" t="str">
        <x:v>Основной</x:v>
      </x:c>
      <x:c r="E58" s="18" t="n">
        <x:v>12</x:v>
      </x:c>
      <x:c r="F58" s="27" t="b">
        <x:v>1</x:v>
      </x:c>
      <x:c r="G58" s="19" t="n">
        <x:v>47036394</x:v>
      </x:c>
      <x:c r="H58" s="19" t="n">
        <x:v>47036394</x:v>
      </x:c>
      <x:c r="I58" s="19" t="n">
        <x:f>G58/10^9</x:f>
        <x:v>0.047036394</x:v>
      </x:c>
      <x:c r="J58" s="19" t="n">
        <x:f>H58/10^9</x:f>
        <x:v>0.047036394</x:v>
      </x:c>
      <x:c r="K58" s="28" t="n">
        <x:f>(H58-G58)/G58</x:f>
        <x:v>0</x:v>
      </x:c>
    </x:row>
    <x:row r="59" ht="22" customHeight="1">
      <x:c r="A59" s="15" t="str">
        <x:v>Республика Корея</x:v>
      </x:c>
      <x:c r="B59" s="18" t="n">
        <x:v>2017</x:v>
      </x:c>
      <x:c r="C59" s="15" t="str">
        <x:v>854239</x:v>
      </x:c>
      <x:c r="D59" s="15" t="str">
        <x:v>Основной</x:v>
      </x:c>
      <x:c r="E59" s="18" t="n">
        <x:v>12</x:v>
      </x:c>
      <x:c r="F59" s="27" t="b">
        <x:v>1</x:v>
      </x:c>
      <x:c r="G59" s="19" t="n">
        <x:v>3926164488</x:v>
      </x:c>
      <x:c r="H59" s="19" t="n">
        <x:v>3926164488</x:v>
      </x:c>
      <x:c r="I59" s="19" t="n">
        <x:f>G59/10^9</x:f>
        <x:v>3.926164488</x:v>
      </x:c>
      <x:c r="J59" s="19" t="n">
        <x:f>H59/10^9</x:f>
        <x:v>3.926164488</x:v>
      </x:c>
      <x:c r="K59" s="28" t="n">
        <x:f>(H59-G59)/G59</x:f>
        <x:v>0</x:v>
      </x:c>
    </x:row>
    <x:row r="60" ht="22" customHeight="1">
      <x:c r="A60" s="15" t="str">
        <x:v>Республика Корея</x:v>
      </x:c>
      <x:c r="B60" s="18" t="n">
        <x:v>2017</x:v>
      </x:c>
      <x:c r="C60" s="15" t="str">
        <x:v>854290</x:v>
      </x:c>
      <x:c r="D60" s="15" t="str">
        <x:v>Контрольный</x:v>
      </x:c>
      <x:c r="E60" s="18" t="n">
        <x:v>12</x:v>
      </x:c>
      <x:c r="F60" s="27" t="b">
        <x:v>1</x:v>
      </x:c>
      <x:c r="G60" s="19" t="n">
        <x:v>263197347</x:v>
      </x:c>
      <x:c r="H60" s="19" t="n">
        <x:v>263197347</x:v>
      </x:c>
      <x:c r="I60" s="19" t="n">
        <x:f>G60/10^9</x:f>
        <x:v>0.263197347</x:v>
      </x:c>
      <x:c r="J60" s="19" t="n">
        <x:f>H60/10^9</x:f>
        <x:v>0.263197347</x:v>
      </x:c>
      <x:c r="K60" s="28" t="n">
        <x:f>(H60-G60)/G60</x:f>
        <x:v>0</x:v>
      </x:c>
    </x:row>
    <x:row r="61" ht="22" customHeight="1">
      <x:c r="A61" s="15" t="str">
        <x:v>Республика Корея</x:v>
      </x:c>
      <x:c r="B61" s="18" t="n">
        <x:v>2018</x:v>
      </x:c>
      <x:c r="C61" s="15" t="str">
        <x:v>8542</x:v>
      </x:c>
      <x:c r="D61" s="15" t="str">
        <x:v>Контрольный</x:v>
      </x:c>
      <x:c r="E61" s="18" t="n">
        <x:v>12</x:v>
      </x:c>
      <x:c r="F61" s="27" t="b">
        <x:v>1</x:v>
      </x:c>
      <x:c r="G61" s="19" t="n">
        <x:v>109776376332</x:v>
      </x:c>
      <x:c r="H61" s="19" t="n">
        <x:v>109776376332</x:v>
      </x:c>
      <x:c r="I61" s="19" t="n">
        <x:f>G61/10^9</x:f>
        <x:v>109.776376332</x:v>
      </x:c>
      <x:c r="J61" s="19" t="n">
        <x:f>H61/10^9</x:f>
        <x:v>109.776376332</x:v>
      </x:c>
      <x:c r="K61" s="28" t="n">
        <x:f>(H61-G61)/G61</x:f>
        <x:v>0</x:v>
      </x:c>
    </x:row>
    <x:row r="62" ht="22" customHeight="1">
      <x:c r="A62" s="15" t="str">
        <x:v>Республика Корея</x:v>
      </x:c>
      <x:c r="B62" s="18" t="n">
        <x:v>2018</x:v>
      </x:c>
      <x:c r="C62" s="15" t="str">
        <x:v>854231</x:v>
      </x:c>
      <x:c r="D62" s="15" t="str">
        <x:v>Основной</x:v>
      </x:c>
      <x:c r="E62" s="18" t="n">
        <x:v>12</x:v>
      </x:c>
      <x:c r="F62" s="27" t="b">
        <x:v>1</x:v>
      </x:c>
      <x:c r="G62" s="19" t="n">
        <x:v>22095020467</x:v>
      </x:c>
      <x:c r="H62" s="19" t="n">
        <x:v>22095020467</x:v>
      </x:c>
      <x:c r="I62" s="19" t="n">
        <x:f>G62/10^9</x:f>
        <x:v>22.095020467</x:v>
      </x:c>
      <x:c r="J62" s="19" t="n">
        <x:f>H62/10^9</x:f>
        <x:v>22.095020467</x:v>
      </x:c>
      <x:c r="K62" s="28" t="n">
        <x:f>(H62-G62)/G62</x:f>
        <x:v>0</x:v>
      </x:c>
    </x:row>
    <x:row r="63" ht="22" customHeight="1">
      <x:c r="A63" s="15" t="str">
        <x:v>Республика Корея</x:v>
      </x:c>
      <x:c r="B63" s="18" t="n">
        <x:v>2018</x:v>
      </x:c>
      <x:c r="C63" s="15" t="str">
        <x:v>854232</x:v>
      </x:c>
      <x:c r="D63" s="15" t="str">
        <x:v>Основной</x:v>
      </x:c>
      <x:c r="E63" s="18" t="n">
        <x:v>12</x:v>
      </x:c>
      <x:c r="F63" s="27" t="b">
        <x:v>1</x:v>
      </x:c>
      <x:c r="G63" s="19" t="n">
        <x:v>83048245976</x:v>
      </x:c>
      <x:c r="H63" s="19" t="n">
        <x:v>83048245976</x:v>
      </x:c>
      <x:c r="I63" s="19" t="n">
        <x:f>G63/10^9</x:f>
        <x:v>83.048245976</x:v>
      </x:c>
      <x:c r="J63" s="19" t="n">
        <x:f>H63/10^9</x:f>
        <x:v>83.048245976</x:v>
      </x:c>
      <x:c r="K63" s="28" t="n">
        <x:f>(H63-G63)/G63</x:f>
        <x:v>0</x:v>
      </x:c>
    </x:row>
    <x:row r="64" ht="22" customHeight="1">
      <x:c r="A64" s="15" t="str">
        <x:v>Республика Корея</x:v>
      </x:c>
      <x:c r="B64" s="18" t="n">
        <x:v>2018</x:v>
      </x:c>
      <x:c r="C64" s="15" t="str">
        <x:v>854233</x:v>
      </x:c>
      <x:c r="D64" s="15" t="str">
        <x:v>Основной</x:v>
      </x:c>
      <x:c r="E64" s="18" t="n">
        <x:v>12</x:v>
      </x:c>
      <x:c r="F64" s="27" t="b">
        <x:v>1</x:v>
      </x:c>
      <x:c r="G64" s="19" t="n">
        <x:v>50734336</x:v>
      </x:c>
      <x:c r="H64" s="19" t="n">
        <x:v>50734336</x:v>
      </x:c>
      <x:c r="I64" s="19" t="n">
        <x:f>G64/10^9</x:f>
        <x:v>0.050734336</x:v>
      </x:c>
      <x:c r="J64" s="19" t="n">
        <x:f>H64/10^9</x:f>
        <x:v>0.050734336</x:v>
      </x:c>
      <x:c r="K64" s="28" t="n">
        <x:f>(H64-G64)/G64</x:f>
        <x:v>0</x:v>
      </x:c>
    </x:row>
    <x:row r="65" ht="22" customHeight="1">
      <x:c r="A65" s="15" t="str">
        <x:v>Республика Корея</x:v>
      </x:c>
      <x:c r="B65" s="18" t="n">
        <x:v>2018</x:v>
      </x:c>
      <x:c r="C65" s="15" t="str">
        <x:v>854239</x:v>
      </x:c>
      <x:c r="D65" s="15" t="str">
        <x:v>Основной</x:v>
      </x:c>
      <x:c r="E65" s="18" t="n">
        <x:v>12</x:v>
      </x:c>
      <x:c r="F65" s="27" t="b">
        <x:v>1</x:v>
      </x:c>
      <x:c r="G65" s="19" t="n">
        <x:v>4294405578</x:v>
      </x:c>
      <x:c r="H65" s="19" t="n">
        <x:v>4294405578</x:v>
      </x:c>
      <x:c r="I65" s="19" t="n">
        <x:f>G65/10^9</x:f>
        <x:v>4.294405578</x:v>
      </x:c>
      <x:c r="J65" s="19" t="n">
        <x:f>H65/10^9</x:f>
        <x:v>4.294405578</x:v>
      </x:c>
      <x:c r="K65" s="28" t="n">
        <x:f>(H65-G65)/G65</x:f>
        <x:v>0</x:v>
      </x:c>
    </x:row>
    <x:row r="66" ht="22" customHeight="1">
      <x:c r="A66" s="15" t="str">
        <x:v>Республика Корея</x:v>
      </x:c>
      <x:c r="B66" s="18" t="n">
        <x:v>2018</x:v>
      </x:c>
      <x:c r="C66" s="15" t="str">
        <x:v>854290</x:v>
      </x:c>
      <x:c r="D66" s="15" t="str">
        <x:v>Контрольный</x:v>
      </x:c>
      <x:c r="E66" s="18" t="n">
        <x:v>12</x:v>
      </x:c>
      <x:c r="F66" s="27" t="b">
        <x:v>1</x:v>
      </x:c>
      <x:c r="G66" s="19" t="n">
        <x:v>287969975</x:v>
      </x:c>
      <x:c r="H66" s="19" t="n">
        <x:v>287969975</x:v>
      </x:c>
      <x:c r="I66" s="19" t="n">
        <x:f>G66/10^9</x:f>
        <x:v>0.287969975</x:v>
      </x:c>
      <x:c r="J66" s="19" t="n">
        <x:f>H66/10^9</x:f>
        <x:v>0.287969975</x:v>
      </x:c>
      <x:c r="K66" s="28" t="n">
        <x:f>(H66-G66)/G66</x:f>
        <x:v>0</x:v>
      </x:c>
    </x:row>
    <x:row r="67" ht="22" customHeight="1">
      <x:c r="A67" s="15" t="str">
        <x:v>Республика Корея</x:v>
      </x:c>
      <x:c r="B67" s="18" t="n">
        <x:v>2019</x:v>
      </x:c>
      <x:c r="C67" s="15" t="str">
        <x:v>8542</x:v>
      </x:c>
      <x:c r="D67" s="15" t="str">
        <x:v>Контрольный</x:v>
      </x:c>
      <x:c r="E67" s="18" t="n">
        <x:v>12</x:v>
      </x:c>
      <x:c r="F67" s="27" t="b">
        <x:v>1</x:v>
      </x:c>
      <x:c r="G67" s="19" t="n">
        <x:v>79076531427</x:v>
      </x:c>
      <x:c r="H67" s="19" t="n">
        <x:v>79076531427</x:v>
      </x:c>
      <x:c r="I67" s="19" t="n">
        <x:f>G67/10^9</x:f>
        <x:v>79.076531427</x:v>
      </x:c>
      <x:c r="J67" s="19" t="n">
        <x:f>H67/10^9</x:f>
        <x:v>79.076531427</x:v>
      </x:c>
      <x:c r="K67" s="28" t="n">
        <x:f>(H67-G67)/G67</x:f>
        <x:v>0</x:v>
      </x:c>
    </x:row>
    <x:row r="68" ht="22" customHeight="1">
      <x:c r="A68" s="15" t="str">
        <x:v>Республика Корея</x:v>
      </x:c>
      <x:c r="B68" s="18" t="n">
        <x:v>2019</x:v>
      </x:c>
      <x:c r="C68" s="15" t="str">
        <x:v>854231</x:v>
      </x:c>
      <x:c r="D68" s="15" t="str">
        <x:v>Основной</x:v>
      </x:c>
      <x:c r="E68" s="18" t="n">
        <x:v>12</x:v>
      </x:c>
      <x:c r="F68" s="27" t="b">
        <x:v>1</x:v>
      </x:c>
      <x:c r="G68" s="19" t="n">
        <x:v>20677631144</x:v>
      </x:c>
      <x:c r="H68" s="19" t="n">
        <x:v>20677631144</x:v>
      </x:c>
      <x:c r="I68" s="19" t="n">
        <x:f>G68/10^9</x:f>
        <x:v>20.677631144</x:v>
      </x:c>
      <x:c r="J68" s="19" t="n">
        <x:f>H68/10^9</x:f>
        <x:v>20.677631144</x:v>
      </x:c>
      <x:c r="K68" s="28" t="n">
        <x:f>(H68-G68)/G68</x:f>
        <x:v>0</x:v>
      </x:c>
    </x:row>
    <x:row r="69" ht="22" customHeight="1">
      <x:c r="A69" s="15" t="str">
        <x:v>Республика Корея</x:v>
      </x:c>
      <x:c r="B69" s="18" t="n">
        <x:v>2019</x:v>
      </x:c>
      <x:c r="C69" s="15" t="str">
        <x:v>854232</x:v>
      </x:c>
      <x:c r="D69" s="15" t="str">
        <x:v>Основной</x:v>
      </x:c>
      <x:c r="E69" s="18" t="n">
        <x:v>12</x:v>
      </x:c>
      <x:c r="F69" s="27" t="b">
        <x:v>1</x:v>
      </x:c>
      <x:c r="G69" s="19" t="n">
        <x:v>53161754430</x:v>
      </x:c>
      <x:c r="H69" s="19" t="n">
        <x:v>53161754430</x:v>
      </x:c>
      <x:c r="I69" s="19" t="n">
        <x:f>G69/10^9</x:f>
        <x:v>53.16175443</x:v>
      </x:c>
      <x:c r="J69" s="19" t="n">
        <x:f>H69/10^9</x:f>
        <x:v>53.16175443</x:v>
      </x:c>
      <x:c r="K69" s="28" t="n">
        <x:f>(H69-G69)/G69</x:f>
        <x:v>0</x:v>
      </x:c>
    </x:row>
    <x:row r="70" ht="22" customHeight="1">
      <x:c r="A70" s="15" t="str">
        <x:v>Республика Корея</x:v>
      </x:c>
      <x:c r="B70" s="18" t="n">
        <x:v>2019</x:v>
      </x:c>
      <x:c r="C70" s="15" t="str">
        <x:v>854233</x:v>
      </x:c>
      <x:c r="D70" s="15" t="str">
        <x:v>Основной</x:v>
      </x:c>
      <x:c r="E70" s="18" t="n">
        <x:v>12</x:v>
      </x:c>
      <x:c r="F70" s="27" t="b">
        <x:v>1</x:v>
      </x:c>
      <x:c r="G70" s="19" t="n">
        <x:v>81687713</x:v>
      </x:c>
      <x:c r="H70" s="19" t="n">
        <x:v>81687713</x:v>
      </x:c>
      <x:c r="I70" s="19" t="n">
        <x:f>G70/10^9</x:f>
        <x:v>0.081687713</x:v>
      </x:c>
      <x:c r="J70" s="19" t="n">
        <x:f>H70/10^9</x:f>
        <x:v>0.081687713</x:v>
      </x:c>
      <x:c r="K70" s="28" t="n">
        <x:f>(H70-G70)/G70</x:f>
        <x:v>0</x:v>
      </x:c>
    </x:row>
    <x:row r="71" ht="22" customHeight="1">
      <x:c r="A71" s="15" t="str">
        <x:v>Республика Корея</x:v>
      </x:c>
      <x:c r="B71" s="18" t="n">
        <x:v>2019</x:v>
      </x:c>
      <x:c r="C71" s="15" t="str">
        <x:v>854239</x:v>
      </x:c>
      <x:c r="D71" s="15" t="str">
        <x:v>Основной</x:v>
      </x:c>
      <x:c r="E71" s="18" t="n">
        <x:v>12</x:v>
      </x:c>
      <x:c r="F71" s="27" t="b">
        <x:v>1</x:v>
      </x:c>
      <x:c r="G71" s="19" t="n">
        <x:v>4901265898</x:v>
      </x:c>
      <x:c r="H71" s="19" t="n">
        <x:v>4901265898</x:v>
      </x:c>
      <x:c r="I71" s="19" t="n">
        <x:f>G71/10^9</x:f>
        <x:v>4.901265898</x:v>
      </x:c>
      <x:c r="J71" s="19" t="n">
        <x:f>H71/10^9</x:f>
        <x:v>4.901265898</x:v>
      </x:c>
      <x:c r="K71" s="28" t="n">
        <x:f>(H71-G71)/G71</x:f>
        <x:v>0</x:v>
      </x:c>
    </x:row>
    <x:row r="72" ht="22" customHeight="1">
      <x:c r="A72" s="15" t="str">
        <x:v>Республика Корея</x:v>
      </x:c>
      <x:c r="B72" s="18" t="n">
        <x:v>2019</x:v>
      </x:c>
      <x:c r="C72" s="15" t="str">
        <x:v>854290</x:v>
      </x:c>
      <x:c r="D72" s="15" t="str">
        <x:v>Контрольный</x:v>
      </x:c>
      <x:c r="E72" s="18" t="n">
        <x:v>12</x:v>
      </x:c>
      <x:c r="F72" s="27" t="b">
        <x:v>1</x:v>
      </x:c>
      <x:c r="G72" s="19" t="n">
        <x:v>254192242</x:v>
      </x:c>
      <x:c r="H72" s="19" t="n">
        <x:v>254192242</x:v>
      </x:c>
      <x:c r="I72" s="19" t="n">
        <x:f>G72/10^9</x:f>
        <x:v>0.254192242</x:v>
      </x:c>
      <x:c r="J72" s="19" t="n">
        <x:f>H72/10^9</x:f>
        <x:v>0.254192242</x:v>
      </x:c>
      <x:c r="K72" s="28" t="n">
        <x:f>(H72-G72)/G72</x:f>
        <x:v>0</x:v>
      </x:c>
    </x:row>
    <x:row r="73" ht="22" customHeight="1">
      <x:c r="A73" s="15" t="str">
        <x:v>Республика Корея</x:v>
      </x:c>
      <x:c r="B73" s="18" t="n">
        <x:v>2020</x:v>
      </x:c>
      <x:c r="C73" s="15" t="str">
        <x:v>8542</x:v>
      </x:c>
      <x:c r="D73" s="15" t="str">
        <x:v>Контрольный</x:v>
      </x:c>
      <x:c r="E73" s="18" t="n">
        <x:v>12</x:v>
      </x:c>
      <x:c r="F73" s="27" t="b">
        <x:v>1</x:v>
      </x:c>
      <x:c r="G73" s="19" t="n">
        <x:v>82884355424</x:v>
      </x:c>
      <x:c r="H73" s="19" t="n">
        <x:v>82884355424</x:v>
      </x:c>
      <x:c r="I73" s="19" t="n">
        <x:f>G73/10^9</x:f>
        <x:v>82.884355424</x:v>
      </x:c>
      <x:c r="J73" s="19" t="n">
        <x:f>H73/10^9</x:f>
        <x:v>82.884355424</x:v>
      </x:c>
      <x:c r="K73" s="28" t="n">
        <x:f>(H73-G73)/G73</x:f>
        <x:v>0</x:v>
      </x:c>
    </x:row>
    <x:row r="74" ht="22" customHeight="1">
      <x:c r="A74" s="15" t="str">
        <x:v>Республика Корея</x:v>
      </x:c>
      <x:c r="B74" s="18" t="n">
        <x:v>2020</x:v>
      </x:c>
      <x:c r="C74" s="15" t="str">
        <x:v>854231</x:v>
      </x:c>
      <x:c r="D74" s="15" t="str">
        <x:v>Основной</x:v>
      </x:c>
      <x:c r="E74" s="18" t="n">
        <x:v>12</x:v>
      </x:c>
      <x:c r="F74" s="27" t="b">
        <x:v>1</x:v>
      </x:c>
      <x:c r="G74" s="19" t="n">
        <x:v>23516669861</x:v>
      </x:c>
      <x:c r="H74" s="19" t="n">
        <x:v>23516669861</x:v>
      </x:c>
      <x:c r="I74" s="19" t="n">
        <x:f>G74/10^9</x:f>
        <x:v>23.516669861</x:v>
      </x:c>
      <x:c r="J74" s="19" t="n">
        <x:f>H74/10^9</x:f>
        <x:v>23.516669861</x:v>
      </x:c>
      <x:c r="K74" s="28" t="n">
        <x:f>(H74-G74)/G74</x:f>
        <x:v>0</x:v>
      </x:c>
    </x:row>
    <x:row r="75" ht="22" customHeight="1">
      <x:c r="A75" s="15" t="str">
        <x:v>Республика Корея</x:v>
      </x:c>
      <x:c r="B75" s="18" t="n">
        <x:v>2020</x:v>
      </x:c>
      <x:c r="C75" s="15" t="str">
        <x:v>854232</x:v>
      </x:c>
      <x:c r="D75" s="15" t="str">
        <x:v>Основной</x:v>
      </x:c>
      <x:c r="E75" s="18" t="n">
        <x:v>12</x:v>
      </x:c>
      <x:c r="F75" s="27" t="b">
        <x:v>1</x:v>
      </x:c>
      <x:c r="G75" s="19" t="n">
        <x:v>52358422298</x:v>
      </x:c>
      <x:c r="H75" s="19" t="n">
        <x:v>52358422298</x:v>
      </x:c>
      <x:c r="I75" s="19" t="n">
        <x:f>G75/10^9</x:f>
        <x:v>52.358422298</x:v>
      </x:c>
      <x:c r="J75" s="19" t="n">
        <x:f>H75/10^9</x:f>
        <x:v>52.358422298</x:v>
      </x:c>
      <x:c r="K75" s="28" t="n">
        <x:f>(H75-G75)/G75</x:f>
        <x:v>0</x:v>
      </x:c>
    </x:row>
    <x:row r="76" ht="22" customHeight="1">
      <x:c r="A76" s="15" t="str">
        <x:v>Республика Корея</x:v>
      </x:c>
      <x:c r="B76" s="18" t="n">
        <x:v>2020</x:v>
      </x:c>
      <x:c r="C76" s="15" t="str">
        <x:v>854233</x:v>
      </x:c>
      <x:c r="D76" s="15" t="str">
        <x:v>Основной</x:v>
      </x:c>
      <x:c r="E76" s="18" t="n">
        <x:v>12</x:v>
      </x:c>
      <x:c r="F76" s="27" t="b">
        <x:v>1</x:v>
      </x:c>
      <x:c r="G76" s="19" t="n">
        <x:v>105706224</x:v>
      </x:c>
      <x:c r="H76" s="19" t="n">
        <x:v>105706224</x:v>
      </x:c>
      <x:c r="I76" s="19" t="n">
        <x:f>G76/10^9</x:f>
        <x:v>0.105706224</x:v>
      </x:c>
      <x:c r="J76" s="19" t="n">
        <x:f>H76/10^9</x:f>
        <x:v>0.105706224</x:v>
      </x:c>
      <x:c r="K76" s="28" t="n">
        <x:f>(H76-G76)/G76</x:f>
        <x:v>0</x:v>
      </x:c>
    </x:row>
    <x:row r="77" ht="22" customHeight="1">
      <x:c r="A77" s="15" t="str">
        <x:v>Республика Корея</x:v>
      </x:c>
      <x:c r="B77" s="18" t="n">
        <x:v>2020</x:v>
      </x:c>
      <x:c r="C77" s="15" t="str">
        <x:v>854239</x:v>
      </x:c>
      <x:c r="D77" s="15" t="str">
        <x:v>Основной</x:v>
      </x:c>
      <x:c r="E77" s="18" t="n">
        <x:v>12</x:v>
      </x:c>
      <x:c r="F77" s="27" t="b">
        <x:v>1</x:v>
      </x:c>
      <x:c r="G77" s="19" t="n">
        <x:v>6622734380</x:v>
      </x:c>
      <x:c r="H77" s="19" t="n">
        <x:v>6622734380</x:v>
      </x:c>
      <x:c r="I77" s="19" t="n">
        <x:f>G77/10^9</x:f>
        <x:v>6.62273438</x:v>
      </x:c>
      <x:c r="J77" s="19" t="n">
        <x:f>H77/10^9</x:f>
        <x:v>6.62273438</x:v>
      </x:c>
      <x:c r="K77" s="28" t="n">
        <x:f>(H77-G77)/G77</x:f>
        <x:v>0</x:v>
      </x:c>
    </x:row>
    <x:row r="78" ht="22" customHeight="1">
      <x:c r="A78" s="15" t="str">
        <x:v>Республика Корея</x:v>
      </x:c>
      <x:c r="B78" s="18" t="n">
        <x:v>2020</x:v>
      </x:c>
      <x:c r="C78" s="15" t="str">
        <x:v>854290</x:v>
      </x:c>
      <x:c r="D78" s="15" t="str">
        <x:v>Контрольный</x:v>
      </x:c>
      <x:c r="E78" s="18" t="n">
        <x:v>12</x:v>
      </x:c>
      <x:c r="F78" s="27" t="b">
        <x:v>1</x:v>
      </x:c>
      <x:c r="G78" s="19" t="n">
        <x:v>280822661</x:v>
      </x:c>
      <x:c r="H78" s="19" t="n">
        <x:v>280822661</x:v>
      </x:c>
      <x:c r="I78" s="19" t="n">
        <x:f>G78/10^9</x:f>
        <x:v>0.280822661</x:v>
      </x:c>
      <x:c r="J78" s="19" t="n">
        <x:f>H78/10^9</x:f>
        <x:v>0.280822661</x:v>
      </x:c>
      <x:c r="K78" s="28" t="n">
        <x:f>(H78-G78)/G78</x:f>
        <x:v>0</x:v>
      </x:c>
    </x:row>
    <x:row r="79" ht="22" customHeight="1">
      <x:c r="A79" s="15" t="str">
        <x:v>Республика Корея</x:v>
      </x:c>
      <x:c r="B79" s="18" t="n">
        <x:v>2021</x:v>
      </x:c>
      <x:c r="C79" s="15" t="str">
        <x:v>8542</x:v>
      </x:c>
      <x:c r="D79" s="15" t="str">
        <x:v>Контрольный</x:v>
      </x:c>
      <x:c r="E79" s="18" t="n">
        <x:v>12</x:v>
      </x:c>
      <x:c r="F79" s="27" t="b">
        <x:v>1</x:v>
      </x:c>
      <x:c r="G79" s="19" t="n">
        <x:v>109296681667</x:v>
      </x:c>
      <x:c r="H79" s="19" t="n">
        <x:v>109296681667</x:v>
      </x:c>
      <x:c r="I79" s="19" t="n">
        <x:f>G79/10^9</x:f>
        <x:v>109.296681667</x:v>
      </x:c>
      <x:c r="J79" s="19" t="n">
        <x:f>H79/10^9</x:f>
        <x:v>109.296681667</x:v>
      </x:c>
      <x:c r="K79" s="28" t="n">
        <x:f>(H79-G79)/G79</x:f>
        <x:v>0</x:v>
      </x:c>
    </x:row>
    <x:row r="80" ht="22" customHeight="1">
      <x:c r="A80" s="15" t="str">
        <x:v>Республика Корея</x:v>
      </x:c>
      <x:c r="B80" s="18" t="n">
        <x:v>2021</x:v>
      </x:c>
      <x:c r="C80" s="15" t="str">
        <x:v>854231</x:v>
      </x:c>
      <x:c r="D80" s="15" t="str">
        <x:v>Основной</x:v>
      </x:c>
      <x:c r="E80" s="18" t="n">
        <x:v>12</x:v>
      </x:c>
      <x:c r="F80" s="27" t="b">
        <x:v>1</x:v>
      </x:c>
      <x:c r="G80" s="19" t="n">
        <x:v>30405224004</x:v>
      </x:c>
      <x:c r="H80" s="19" t="n">
        <x:v>30405224004</x:v>
      </x:c>
      <x:c r="I80" s="19" t="n">
        <x:f>G80/10^9</x:f>
        <x:v>30.405224004</x:v>
      </x:c>
      <x:c r="J80" s="19" t="n">
        <x:f>H80/10^9</x:f>
        <x:v>30.405224004</x:v>
      </x:c>
      <x:c r="K80" s="28" t="n">
        <x:f>(H80-G80)/G80</x:f>
        <x:v>0</x:v>
      </x:c>
    </x:row>
    <x:row r="81" ht="22" customHeight="1">
      <x:c r="A81" s="15" t="str">
        <x:v>Республика Корея</x:v>
      </x:c>
      <x:c r="B81" s="18" t="n">
        <x:v>2021</x:v>
      </x:c>
      <x:c r="C81" s="15" t="str">
        <x:v>854232</x:v>
      </x:c>
      <x:c r="D81" s="15" t="str">
        <x:v>Основной</x:v>
      </x:c>
      <x:c r="E81" s="18" t="n">
        <x:v>12</x:v>
      </x:c>
      <x:c r="F81" s="27" t="b">
        <x:v>1</x:v>
      </x:c>
      <x:c r="G81" s="19" t="n">
        <x:v>69177215461</x:v>
      </x:c>
      <x:c r="H81" s="19" t="n">
        <x:v>69177215461</x:v>
      </x:c>
      <x:c r="I81" s="19" t="n">
        <x:f>G81/10^9</x:f>
        <x:v>69.177215461</x:v>
      </x:c>
      <x:c r="J81" s="19" t="n">
        <x:f>H81/10^9</x:f>
        <x:v>69.177215461</x:v>
      </x:c>
      <x:c r="K81" s="28" t="n">
        <x:f>(H81-G81)/G81</x:f>
        <x:v>0</x:v>
      </x:c>
    </x:row>
    <x:row r="82" ht="22" customHeight="1">
      <x:c r="A82" s="15" t="str">
        <x:v>Республика Корея</x:v>
      </x:c>
      <x:c r="B82" s="18" t="n">
        <x:v>2021</x:v>
      </x:c>
      <x:c r="C82" s="15" t="str">
        <x:v>854233</x:v>
      </x:c>
      <x:c r="D82" s="15" t="str">
        <x:v>Основной</x:v>
      </x:c>
      <x:c r="E82" s="18" t="n">
        <x:v>12</x:v>
      </x:c>
      <x:c r="F82" s="27" t="b">
        <x:v>1</x:v>
      </x:c>
      <x:c r="G82" s="19" t="n">
        <x:v>211038869</x:v>
      </x:c>
      <x:c r="H82" s="19" t="n">
        <x:v>211038869</x:v>
      </x:c>
      <x:c r="I82" s="19" t="n">
        <x:f>G82/10^9</x:f>
        <x:v>0.211038869</x:v>
      </x:c>
      <x:c r="J82" s="19" t="n">
        <x:f>H82/10^9</x:f>
        <x:v>0.211038869</x:v>
      </x:c>
      <x:c r="K82" s="28" t="n">
        <x:f>(H82-G82)/G82</x:f>
        <x:v>0</x:v>
      </x:c>
    </x:row>
    <x:row r="83" ht="22" customHeight="1">
      <x:c r="A83" s="15" t="str">
        <x:v>Республика Корея</x:v>
      </x:c>
      <x:c r="B83" s="18" t="n">
        <x:v>2021</x:v>
      </x:c>
      <x:c r="C83" s="15" t="str">
        <x:v>854239</x:v>
      </x:c>
      <x:c r="D83" s="15" t="str">
        <x:v>Основной</x:v>
      </x:c>
      <x:c r="E83" s="18" t="n">
        <x:v>12</x:v>
      </x:c>
      <x:c r="F83" s="27" t="b">
        <x:v>1</x:v>
      </x:c>
      <x:c r="G83" s="19" t="n">
        <x:v>9101918746</x:v>
      </x:c>
      <x:c r="H83" s="19" t="n">
        <x:v>9101918746</x:v>
      </x:c>
      <x:c r="I83" s="19" t="n">
        <x:f>G83/10^9</x:f>
        <x:v>9.101918746</x:v>
      </x:c>
      <x:c r="J83" s="19" t="n">
        <x:f>H83/10^9</x:f>
        <x:v>9.101918746</x:v>
      </x:c>
      <x:c r="K83" s="28" t="n">
        <x:f>(H83-G83)/G83</x:f>
        <x:v>0</x:v>
      </x:c>
    </x:row>
    <x:row r="84" ht="22" customHeight="1">
      <x:c r="A84" s="15" t="str">
        <x:v>Республика Корея</x:v>
      </x:c>
      <x:c r="B84" s="18" t="n">
        <x:v>2021</x:v>
      </x:c>
      <x:c r="C84" s="15" t="str">
        <x:v>854290</x:v>
      </x:c>
      <x:c r="D84" s="15" t="str">
        <x:v>Контрольный</x:v>
      </x:c>
      <x:c r="E84" s="18" t="n">
        <x:v>12</x:v>
      </x:c>
      <x:c r="F84" s="27" t="b">
        <x:v>1</x:v>
      </x:c>
      <x:c r="G84" s="19" t="n">
        <x:v>401284587</x:v>
      </x:c>
      <x:c r="H84" s="19" t="n">
        <x:v>401284587</x:v>
      </x:c>
      <x:c r="I84" s="19" t="n">
        <x:f>G84/10^9</x:f>
        <x:v>0.401284587</x:v>
      </x:c>
      <x:c r="J84" s="19" t="n">
        <x:f>H84/10^9</x:f>
        <x:v>0.401284587</x:v>
      </x:c>
      <x:c r="K84" s="28" t="n">
        <x:f>(H84-G84)/G84</x:f>
        <x:v>0</x:v>
      </x:c>
    </x:row>
    <x:row r="85" ht="22" customHeight="1">
      <x:c r="A85" s="15" t="str">
        <x:v>Республика Корея</x:v>
      </x:c>
      <x:c r="B85" s="18" t="n">
        <x:v>2022</x:v>
      </x:c>
      <x:c r="C85" s="15" t="str">
        <x:v>8542</x:v>
      </x:c>
      <x:c r="D85" s="15" t="str">
        <x:v>Контрольный</x:v>
      </x:c>
      <x:c r="E85" s="18" t="n">
        <x:v>12</x:v>
      </x:c>
      <x:c r="F85" s="27" t="b">
        <x:v>1</x:v>
      </x:c>
      <x:c r="G85" s="19" t="n">
        <x:v>112847160489</x:v>
      </x:c>
      <x:c r="H85" s="19" t="n">
        <x:v>112847160489</x:v>
      </x:c>
      <x:c r="I85" s="19" t="n">
        <x:f>G85/10^9</x:f>
        <x:v>112.847160489</x:v>
      </x:c>
      <x:c r="J85" s="19" t="n">
        <x:f>H85/10^9</x:f>
        <x:v>112.847160489</x:v>
      </x:c>
      <x:c r="K85" s="28" t="n">
        <x:f>(H85-G85)/G85</x:f>
        <x:v>0</x:v>
      </x:c>
    </x:row>
    <x:row r="86" ht="22" customHeight="1">
      <x:c r="A86" s="15" t="str">
        <x:v>Республика Корея</x:v>
      </x:c>
      <x:c r="B86" s="18" t="n">
        <x:v>2022</x:v>
      </x:c>
      <x:c r="C86" s="15" t="str">
        <x:v>854231</x:v>
      </x:c>
      <x:c r="D86" s="15" t="str">
        <x:v>Основной</x:v>
      </x:c>
      <x:c r="E86" s="18" t="n">
        <x:v>12</x:v>
      </x:c>
      <x:c r="F86" s="27" t="b">
        <x:v>1</x:v>
      </x:c>
      <x:c r="G86" s="19" t="n">
        <x:v>38402894055</x:v>
      </x:c>
      <x:c r="H86" s="19" t="n">
        <x:v>38402894055</x:v>
      </x:c>
      <x:c r="I86" s="19" t="n">
        <x:f>G86/10^9</x:f>
        <x:v>38.402894055</x:v>
      </x:c>
      <x:c r="J86" s="19" t="n">
        <x:f>H86/10^9</x:f>
        <x:v>38.402894055</x:v>
      </x:c>
      <x:c r="K86" s="28" t="n">
        <x:f>(H86-G86)/G86</x:f>
        <x:v>0</x:v>
      </x:c>
    </x:row>
    <x:row r="87" ht="22" customHeight="1">
      <x:c r="A87" s="15" t="str">
        <x:v>Республика Корея</x:v>
      </x:c>
      <x:c r="B87" s="18" t="n">
        <x:v>2022</x:v>
      </x:c>
      <x:c r="C87" s="15" t="str">
        <x:v>854232</x:v>
      </x:c>
      <x:c r="D87" s="15" t="str">
        <x:v>Основной</x:v>
      </x:c>
      <x:c r="E87" s="18" t="n">
        <x:v>12</x:v>
      </x:c>
      <x:c r="F87" s="27" t="b">
        <x:v>1</x:v>
      </x:c>
      <x:c r="G87" s="19" t="n">
        <x:v>61777688705</x:v>
      </x:c>
      <x:c r="H87" s="19" t="n">
        <x:v>61777688705</x:v>
      </x:c>
      <x:c r="I87" s="19" t="n">
        <x:f>G87/10^9</x:f>
        <x:v>61.777688705</x:v>
      </x:c>
      <x:c r="J87" s="19" t="n">
        <x:f>H87/10^9</x:f>
        <x:v>61.777688705</x:v>
      </x:c>
      <x:c r="K87" s="28" t="n">
        <x:f>(H87-G87)/G87</x:f>
        <x:v>0</x:v>
      </x:c>
    </x:row>
    <x:row r="88" ht="22" customHeight="1">
      <x:c r="A88" s="15" t="str">
        <x:v>Республика Корея</x:v>
      </x:c>
      <x:c r="B88" s="18" t="n">
        <x:v>2022</x:v>
      </x:c>
      <x:c r="C88" s="15" t="str">
        <x:v>854233</x:v>
      </x:c>
      <x:c r="D88" s="15" t="str">
        <x:v>Основной</x:v>
      </x:c>
      <x:c r="E88" s="18" t="n">
        <x:v>12</x:v>
      </x:c>
      <x:c r="F88" s="27" t="b">
        <x:v>1</x:v>
      </x:c>
      <x:c r="G88" s="19" t="n">
        <x:v>574391047</x:v>
      </x:c>
      <x:c r="H88" s="19" t="n">
        <x:v>574391047</x:v>
      </x:c>
      <x:c r="I88" s="19" t="n">
        <x:f>G88/10^9</x:f>
        <x:v>0.574391047</x:v>
      </x:c>
      <x:c r="J88" s="19" t="n">
        <x:f>H88/10^9</x:f>
        <x:v>0.574391047</x:v>
      </x:c>
      <x:c r="K88" s="28" t="n">
        <x:f>(H88-G88)/G88</x:f>
        <x:v>0</x:v>
      </x:c>
    </x:row>
    <x:row r="89" ht="22" customHeight="1">
      <x:c r="A89" s="15" t="str">
        <x:v>Республика Корея</x:v>
      </x:c>
      <x:c r="B89" s="18" t="n">
        <x:v>2022</x:v>
      </x:c>
      <x:c r="C89" s="15" t="str">
        <x:v>854239</x:v>
      </x:c>
      <x:c r="D89" s="15" t="str">
        <x:v>Основной</x:v>
      </x:c>
      <x:c r="E89" s="18" t="n">
        <x:v>12</x:v>
      </x:c>
      <x:c r="F89" s="27" t="b">
        <x:v>1</x:v>
      </x:c>
      <x:c r="G89" s="19" t="n">
        <x:v>11628361856</x:v>
      </x:c>
      <x:c r="H89" s="19" t="n">
        <x:v>11628361856</x:v>
      </x:c>
      <x:c r="I89" s="19" t="n">
        <x:f>G89/10^9</x:f>
        <x:v>11.628361856</x:v>
      </x:c>
      <x:c r="J89" s="19" t="n">
        <x:f>H89/10^9</x:f>
        <x:v>11.628361856</x:v>
      </x:c>
      <x:c r="K89" s="28" t="n">
        <x:f>(H89-G89)/G89</x:f>
        <x:v>0</x:v>
      </x:c>
    </x:row>
    <x:row r="90" ht="22" customHeight="1">
      <x:c r="A90" s="15" t="str">
        <x:v>Республика Корея</x:v>
      </x:c>
      <x:c r="B90" s="18" t="n">
        <x:v>2022</x:v>
      </x:c>
      <x:c r="C90" s="15" t="str">
        <x:v>854290</x:v>
      </x:c>
      <x:c r="D90" s="15" t="str">
        <x:v>Контрольный</x:v>
      </x:c>
      <x:c r="E90" s="18" t="n">
        <x:v>12</x:v>
      </x:c>
      <x:c r="F90" s="27" t="b">
        <x:v>1</x:v>
      </x:c>
      <x:c r="G90" s="19" t="n">
        <x:v>463824826</x:v>
      </x:c>
      <x:c r="H90" s="19" t="n">
        <x:v>463824826</x:v>
      </x:c>
      <x:c r="I90" s="19" t="n">
        <x:f>G90/10^9</x:f>
        <x:v>0.463824826</x:v>
      </x:c>
      <x:c r="J90" s="19" t="n">
        <x:f>H90/10^9</x:f>
        <x:v>0.463824826</x:v>
      </x:c>
      <x:c r="K90" s="28" t="n">
        <x:f>(H90-G90)/G90</x:f>
        <x:v>0</x:v>
      </x:c>
    </x:row>
    <x:row r="91" ht="22" customHeight="1">
      <x:c r="A91" s="15" t="str">
        <x:v>Республика Корея</x:v>
      </x:c>
      <x:c r="B91" s="18" t="n">
        <x:v>2023</x:v>
      </x:c>
      <x:c r="C91" s="15" t="str">
        <x:v>8542</x:v>
      </x:c>
      <x:c r="D91" s="15" t="str">
        <x:v>Контрольный</x:v>
      </x:c>
      <x:c r="E91" s="18" t="n">
        <x:v>12</x:v>
      </x:c>
      <x:c r="F91" s="27" t="b">
        <x:v>1</x:v>
      </x:c>
      <x:c r="G91" s="19" t="n">
        <x:v>86134555070</x:v>
      </x:c>
      <x:c r="H91" s="19" t="n">
        <x:v>86134555070</x:v>
      </x:c>
      <x:c r="I91" s="19" t="n">
        <x:f>G91/10^9</x:f>
        <x:v>86.13455507</x:v>
      </x:c>
      <x:c r="J91" s="19" t="n">
        <x:f>H91/10^9</x:f>
        <x:v>86.13455507</x:v>
      </x:c>
      <x:c r="K91" s="28" t="n">
        <x:f>(H91-G91)/G91</x:f>
        <x:v>0</x:v>
      </x:c>
    </x:row>
    <x:row r="92" ht="22" customHeight="1">
      <x:c r="A92" s="15" t="str">
        <x:v>Республика Корея</x:v>
      </x:c>
      <x:c r="B92" s="18" t="n">
        <x:v>2023</x:v>
      </x:c>
      <x:c r="C92" s="15" t="str">
        <x:v>854231</x:v>
      </x:c>
      <x:c r="D92" s="15" t="str">
        <x:v>Основной</x:v>
      </x:c>
      <x:c r="E92" s="18" t="n">
        <x:v>12</x:v>
      </x:c>
      <x:c r="F92" s="27" t="b">
        <x:v>1</x:v>
      </x:c>
      <x:c r="G92" s="19" t="n">
        <x:v>31414482258</x:v>
      </x:c>
      <x:c r="H92" s="19" t="n">
        <x:v>31414482258</x:v>
      </x:c>
      <x:c r="I92" s="19" t="n">
        <x:f>G92/10^9</x:f>
        <x:v>31.414482258</x:v>
      </x:c>
      <x:c r="J92" s="19" t="n">
        <x:f>H92/10^9</x:f>
        <x:v>31.414482258</x:v>
      </x:c>
      <x:c r="K92" s="28" t="n">
        <x:f>(H92-G92)/G92</x:f>
        <x:v>0</x:v>
      </x:c>
    </x:row>
    <x:row r="93" ht="22" customHeight="1">
      <x:c r="A93" s="15" t="str">
        <x:v>Республика Корея</x:v>
      </x:c>
      <x:c r="B93" s="18" t="n">
        <x:v>2023</x:v>
      </x:c>
      <x:c r="C93" s="15" t="str">
        <x:v>854232</x:v>
      </x:c>
      <x:c r="D93" s="15" t="str">
        <x:v>Основной</x:v>
      </x:c>
      <x:c r="E93" s="18" t="n">
        <x:v>12</x:v>
      </x:c>
      <x:c r="F93" s="27" t="b">
        <x:v>1</x:v>
      </x:c>
      <x:c r="G93" s="19" t="n">
        <x:v>42893817517</x:v>
      </x:c>
      <x:c r="H93" s="19" t="n">
        <x:v>42893817517</x:v>
      </x:c>
      <x:c r="I93" s="19" t="n">
        <x:f>G93/10^9</x:f>
        <x:v>42.893817517</x:v>
      </x:c>
      <x:c r="J93" s="19" t="n">
        <x:f>H93/10^9</x:f>
        <x:v>42.893817517</x:v>
      </x:c>
      <x:c r="K93" s="28" t="n">
        <x:f>(H93-G93)/G93</x:f>
        <x:v>0</x:v>
      </x:c>
    </x:row>
    <x:row r="94" ht="22" customHeight="1">
      <x:c r="A94" s="15" t="str">
        <x:v>Республика Корея</x:v>
      </x:c>
      <x:c r="B94" s="18" t="n">
        <x:v>2023</x:v>
      </x:c>
      <x:c r="C94" s="15" t="str">
        <x:v>854233</x:v>
      </x:c>
      <x:c r="D94" s="15" t="str">
        <x:v>Основной</x:v>
      </x:c>
      <x:c r="E94" s="18" t="n">
        <x:v>12</x:v>
      </x:c>
      <x:c r="F94" s="27" t="b">
        <x:v>1</x:v>
      </x:c>
      <x:c r="G94" s="19" t="n">
        <x:v>303454450</x:v>
      </x:c>
      <x:c r="H94" s="19" t="n">
        <x:v>303454450</x:v>
      </x:c>
      <x:c r="I94" s="19" t="n">
        <x:f>G94/10^9</x:f>
        <x:v>0.30345445</x:v>
      </x:c>
      <x:c r="J94" s="19" t="n">
        <x:f>H94/10^9</x:f>
        <x:v>0.30345445</x:v>
      </x:c>
      <x:c r="K94" s="28" t="n">
        <x:f>(H94-G94)/G94</x:f>
        <x:v>0</x:v>
      </x:c>
    </x:row>
    <x:row r="95" ht="22" customHeight="1">
      <x:c r="A95" s="15" t="str">
        <x:v>Республика Корея</x:v>
      </x:c>
      <x:c r="B95" s="18" t="n">
        <x:v>2023</x:v>
      </x:c>
      <x:c r="C95" s="15" t="str">
        <x:v>854239</x:v>
      </x:c>
      <x:c r="D95" s="15" t="str">
        <x:v>Основной</x:v>
      </x:c>
      <x:c r="E95" s="18" t="n">
        <x:v>12</x:v>
      </x:c>
      <x:c r="F95" s="27" t="b">
        <x:v>1</x:v>
      </x:c>
      <x:c r="G95" s="19" t="n">
        <x:v>11175896537</x:v>
      </x:c>
      <x:c r="H95" s="19" t="n">
        <x:v>11175896537</x:v>
      </x:c>
      <x:c r="I95" s="19" t="n">
        <x:f>G95/10^9</x:f>
        <x:v>11.175896537</x:v>
      </x:c>
      <x:c r="J95" s="19" t="n">
        <x:f>H95/10^9</x:f>
        <x:v>11.175896537</x:v>
      </x:c>
      <x:c r="K95" s="28" t="n">
        <x:f>(H95-G95)/G95</x:f>
        <x:v>0</x:v>
      </x:c>
    </x:row>
    <x:row r="96" ht="22" customHeight="1">
      <x:c r="A96" s="15" t="str">
        <x:v>Республика Корея</x:v>
      </x:c>
      <x:c r="B96" s="18" t="n">
        <x:v>2023</x:v>
      </x:c>
      <x:c r="C96" s="15" t="str">
        <x:v>854290</x:v>
      </x:c>
      <x:c r="D96" s="15" t="str">
        <x:v>Контрольный</x:v>
      </x:c>
      <x:c r="E96" s="18" t="n">
        <x:v>12</x:v>
      </x:c>
      <x:c r="F96" s="27" t="b">
        <x:v>1</x:v>
      </x:c>
      <x:c r="G96" s="19" t="n">
        <x:v>346904308</x:v>
      </x:c>
      <x:c r="H96" s="19" t="n">
        <x:v>346904308</x:v>
      </x:c>
      <x:c r="I96" s="19" t="n">
        <x:f>G96/10^9</x:f>
        <x:v>0.346904308</x:v>
      </x:c>
      <x:c r="J96" s="19" t="n">
        <x:f>H96/10^9</x:f>
        <x:v>0.346904308</x:v>
      </x:c>
      <x:c r="K96" s="28" t="n">
        <x:f>(H96-G96)/G96</x:f>
        <x:v>0</x:v>
      </x:c>
    </x:row>
    <x:row r="97" ht="22" customHeight="1">
      <x:c r="A97" s="15" t="str">
        <x:v>Республика Корея</x:v>
      </x:c>
      <x:c r="B97" s="18" t="n">
        <x:v>2024</x:v>
      </x:c>
      <x:c r="C97" s="15" t="str">
        <x:v>8542</x:v>
      </x:c>
      <x:c r="D97" s="15" t="str">
        <x:v>Контрольный</x:v>
      </x:c>
      <x:c r="E97" s="18" t="n">
        <x:v>12</x:v>
      </x:c>
      <x:c r="F97" s="27" t="b">
        <x:v>1</x:v>
      </x:c>
      <x:c r="G97" s="19" t="n">
        <x:v>120189285084</x:v>
      </x:c>
      <x:c r="H97" s="19" t="n">
        <x:v>120189285084</x:v>
      </x:c>
      <x:c r="I97" s="19" t="n">
        <x:f>G97/10^9</x:f>
        <x:v>120.189285084</x:v>
      </x:c>
      <x:c r="J97" s="19" t="n">
        <x:f>H97/10^9</x:f>
        <x:v>120.189285084</x:v>
      </x:c>
      <x:c r="K97" s="28" t="n">
        <x:f>(H97-G97)/G97</x:f>
        <x:v>0</x:v>
      </x:c>
    </x:row>
    <x:row r="98" ht="22" customHeight="1">
      <x:c r="A98" s="15" t="str">
        <x:v>Республика Корея</x:v>
      </x:c>
      <x:c r="B98" s="18" t="n">
        <x:v>2024</x:v>
      </x:c>
      <x:c r="C98" s="15" t="str">
        <x:v>854231</x:v>
      </x:c>
      <x:c r="D98" s="15" t="str">
        <x:v>Основной</x:v>
      </x:c>
      <x:c r="E98" s="18" t="n">
        <x:v>12</x:v>
      </x:c>
      <x:c r="F98" s="27" t="b">
        <x:v>1</x:v>
      </x:c>
      <x:c r="G98" s="19" t="n">
        <x:v>35845619423</x:v>
      </x:c>
      <x:c r="H98" s="19" t="n">
        <x:v>35845619423</x:v>
      </x:c>
      <x:c r="I98" s="19" t="n">
        <x:f>G98/10^9</x:f>
        <x:v>35.845619423</x:v>
      </x:c>
      <x:c r="J98" s="19" t="n">
        <x:f>H98/10^9</x:f>
        <x:v>35.845619423</x:v>
      </x:c>
      <x:c r="K98" s="28" t="n">
        <x:f>(H98-G98)/G98</x:f>
        <x:v>0</x:v>
      </x:c>
    </x:row>
    <x:row r="99" ht="22" customHeight="1">
      <x:c r="A99" s="15" t="str">
        <x:v>Республика Корея</x:v>
      </x:c>
      <x:c r="B99" s="18" t="n">
        <x:v>2024</x:v>
      </x:c>
      <x:c r="C99" s="15" t="str">
        <x:v>854232</x:v>
      </x:c>
      <x:c r="D99" s="15" t="str">
        <x:v>Основной</x:v>
      </x:c>
      <x:c r="E99" s="18" t="n">
        <x:v>12</x:v>
      </x:c>
      <x:c r="F99" s="27" t="b">
        <x:v>1</x:v>
      </x:c>
      <x:c r="G99" s="19" t="n">
        <x:v>72019703767</x:v>
      </x:c>
      <x:c r="H99" s="19" t="n">
        <x:v>72019703767</x:v>
      </x:c>
      <x:c r="I99" s="19" t="n">
        <x:f>G99/10^9</x:f>
        <x:v>72.019703767</x:v>
      </x:c>
      <x:c r="J99" s="19" t="n">
        <x:f>H99/10^9</x:f>
        <x:v>72.019703767</x:v>
      </x:c>
      <x:c r="K99" s="28" t="n">
        <x:f>(H99-G99)/G99</x:f>
        <x:v>0</x:v>
      </x:c>
    </x:row>
    <x:row r="100" ht="22" customHeight="1">
      <x:c r="A100" s="15" t="str">
        <x:v>Республика Корея</x:v>
      </x:c>
      <x:c r="B100" s="18" t="n">
        <x:v>2024</x:v>
      </x:c>
      <x:c r="C100" s="15" t="str">
        <x:v>854233</x:v>
      </x:c>
      <x:c r="D100" s="15" t="str">
        <x:v>Основной</x:v>
      </x:c>
      <x:c r="E100" s="18" t="n">
        <x:v>12</x:v>
      </x:c>
      <x:c r="F100" s="27" t="b">
        <x:v>1</x:v>
      </x:c>
      <x:c r="G100" s="19" t="n">
        <x:v>227585476</x:v>
      </x:c>
      <x:c r="H100" s="19" t="n">
        <x:v>227585476</x:v>
      </x:c>
      <x:c r="I100" s="19" t="n">
        <x:f>G100/10^9</x:f>
        <x:v>0.227585476</x:v>
      </x:c>
      <x:c r="J100" s="19" t="n">
        <x:f>H100/10^9</x:f>
        <x:v>0.227585476</x:v>
      </x:c>
      <x:c r="K100" s="28" t="n">
        <x:f>(H100-G100)/G100</x:f>
        <x:v>0</x:v>
      </x:c>
    </x:row>
    <x:row r="101" ht="22" customHeight="1">
      <x:c r="A101" s="15" t="str">
        <x:v>Республика Корея</x:v>
      </x:c>
      <x:c r="B101" s="18" t="n">
        <x:v>2024</x:v>
      </x:c>
      <x:c r="C101" s="15" t="str">
        <x:v>854239</x:v>
      </x:c>
      <x:c r="D101" s="15" t="str">
        <x:v>Основной</x:v>
      </x:c>
      <x:c r="E101" s="18" t="n">
        <x:v>12</x:v>
      </x:c>
      <x:c r="F101" s="27" t="b">
        <x:v>1</x:v>
      </x:c>
      <x:c r="G101" s="19" t="n">
        <x:v>11727089635</x:v>
      </x:c>
      <x:c r="H101" s="19" t="n">
        <x:v>11727089635</x:v>
      </x:c>
      <x:c r="I101" s="19" t="n">
        <x:f>G101/10^9</x:f>
        <x:v>11.727089635</x:v>
      </x:c>
      <x:c r="J101" s="19" t="n">
        <x:f>H101/10^9</x:f>
        <x:v>11.727089635</x:v>
      </x:c>
      <x:c r="K101" s="28" t="n">
        <x:f>(H101-G101)/G101</x:f>
        <x:v>0</x:v>
      </x:c>
    </x:row>
    <x:row r="102" ht="22" customHeight="1">
      <x:c r="A102" s="15" t="str">
        <x:v>Республика Корея</x:v>
      </x:c>
      <x:c r="B102" s="18" t="n">
        <x:v>2024</x:v>
      </x:c>
      <x:c r="C102" s="15" t="str">
        <x:v>854290</x:v>
      </x:c>
      <x:c r="D102" s="15" t="str">
        <x:v>Контрольный</x:v>
      </x:c>
      <x:c r="E102" s="18" t="n">
        <x:v>12</x:v>
      </x:c>
      <x:c r="F102" s="27" t="b">
        <x:v>1</x:v>
      </x:c>
      <x:c r="G102" s="19" t="n">
        <x:v>369286783</x:v>
      </x:c>
      <x:c r="H102" s="19" t="n">
        <x:v>369286783</x:v>
      </x:c>
      <x:c r="I102" s="19" t="n">
        <x:f>G102/10^9</x:f>
        <x:v>0.369286783</x:v>
      </x:c>
      <x:c r="J102" s="19" t="n">
        <x:f>H102/10^9</x:f>
        <x:v>0.369286783</x:v>
      </x:c>
      <x:c r="K102" s="28" t="n">
        <x:f>(H102-G102)/G102</x:f>
        <x:v>0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88888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100" hidden="0" customWidth="1"/>
    <x:col min="3" max="3" width="80" hidden="0" customWidth="1"/>
  </x:cols>
  <x:sheetData>
    <x:row r="1" ht="8" customHeight="1">
      <x:c r="A1" s="2"/>
      <x:c r="B1" s="2"/>
      <x:c r="C1" s="2"/>
    </x:row>
    <x:row r="2" ht="29" customHeight="1">
      <x:c r="A2" s="4" t="str">
        <x:v>Источники и определения</x:v>
      </x:c>
      <x:c r="B2" s="5"/>
      <x:c r="C2" s="5"/>
    </x:row>
    <x:row r="3" ht="22" customHeight="1">
      <x:c r="A3" s="6" t="str">
        <x:v>Реестр сохранённых данных и методических обозначений. Исходные суммы не округлялись перед расчётом.</x:v>
      </x:c>
      <x:c r="B3" s="2"/>
      <x:c r="C3" s="2"/>
    </x:row>
    <x:row r="4" ht="22" customHeight="1">
      <x:c r="A4" s="7" t="str"/>
      <x:c r="B4" s="2"/>
      <x:c r="C4" s="2"/>
    </x:row>
    <x:row r="5" ht="26" customHeight="1">
      <x:c r="A5" s="8" t="str">
        <x:v>Источники в репозитории artyom4iklol/diploma</x:v>
      </x:c>
      <x:c r="B5" s="2"/>
      <x:c r="C5" s="2"/>
    </x:row>
    <x:row r="6" ht="36" customHeight="1">
      <x:c r="A6" s="13" t="str">
        <x:v>ID</x:v>
      </x:c>
      <x:c r="B6" s="13" t="str">
        <x:v>Файл</x:v>
      </x:c>
      <x:c r="C6" s="13" t="str">
        <x:v>SHA-256</x:v>
      </x:c>
    </x:row>
    <x:row r="7" ht="22" customHeight="1">
      <x:c r="A7" s="15" t="str">
        <x:v>S01</x:v>
      </x:c>
      <x:c r="B7" s="15" t="str">
        <x:v>research/02_chip_trade/documents/chapter2_evidence.json</x:v>
      </x:c>
      <x:c r="C7" s="15" t="str">
        <x:v>328d1b46b360fad223fa0cf298055fe20c204ea1daff27f0bbdafd7c778792b2</x:v>
      </x:c>
    </x:row>
    <x:row r="8" ht="22" customHeight="1">
      <x:c r="A8" s="15" t="str">
        <x:v>S02</x:v>
      </x:c>
      <x:c r="B8" s="15" t="str">
        <x:v>research/02_chip_trade/documents/chapter3_evidence.json</x:v>
      </x:c>
      <x:c r="C8" s="15" t="str">
        <x:v>21ea05f9bb1e2f1b64ea7ae9fa64d6bc4d70630636f11aa52ece0befff419669</x:v>
      </x:c>
    </x:row>
    <x:row r="9" ht="22" customHeight="1">
      <x:c r="A9" s="15" t="str">
        <x:v>S03</x:v>
      </x:c>
      <x:c r="B9" s="15" t="str">
        <x:v>research/02_chip_trade/documents/chapter3_market_evidence.json</x:v>
      </x:c>
      <x:c r="C9" s="15" t="str">
        <x:v>ba33474a2a117b70d98b96108afd81ef281826aa93ee8ec08e4e258196d8d810</x:v>
      </x:c>
    </x:row>
    <x:row r="10" ht="22" customHeight="1">
      <x:c r="A10" s="15" t="str">
        <x:v>S04</x:v>
      </x:c>
      <x:c r="B10" s="15" t="str">
        <x:v>research/02_chip_trade/risk_extension/data/monthly_panel_full.csv.gz</x:v>
      </x:c>
      <x:c r="C10" s="15" t="str">
        <x:v>92a2b4b8fb30a6782c886997c95aaad686395b8caf68a4e5521cd16696c258ab</x:v>
      </x:c>
    </x:row>
    <x:row r="11" ht="35" customHeight="1">
      <x:c r="A11" s="15" t="str">
        <x:v>S05</x:v>
      </x:c>
      <x:c r="B11" s="15" t="str">
        <x:v>research/02_chip_trade/risk_extension/results/monthly/annual_indicators_from_months.csv</x:v>
      </x:c>
      <x:c r="C11" s="15" t="str">
        <x:v>40e1927afb918705d65f1824fb8dc593053847627bc11d9d9c0b255aa446a2b5</x:v>
      </x:c>
    </x:row>
    <x:row r="12" ht="22" customHeight="1">
      <x:c r="A12" s="15" t="str">
        <x:v>S06</x:v>
      </x:c>
      <x:c r="B12" s="15" t="str">
        <x:v>research/02_chip_trade/risk_extension/results/monthly/risk_series.csv</x:v>
      </x:c>
      <x:c r="C12" s="15" t="str">
        <x:v>05985a02d8121574390315b77813caaadc3c1119c616ef5a087e3b28a37a01e0</x:v>
      </x:c>
    </x:row>
    <x:row r="13" ht="22" customHeight="1">
      <x:c r="A13" s="15" t="str">
        <x:v>S07</x:v>
      </x:c>
      <x:c r="B13" s="15" t="str">
        <x:v>research/02_chip_trade/risk_extension/results/monthly/monthly_annual_bridge.csv</x:v>
      </x:c>
      <x:c r="C13" s="15" t="str">
        <x:v>f66dd22d26491314b4cbcd186124d6cd5c3160e5e7ded9bed716b50bfcbc2b41</x:v>
      </x:c>
    </x:row>
    <x:row r="14" ht="22" customHeight="1">
      <x:c r="A14" s="15" t="str">
        <x:v>S08</x:v>
      </x:c>
      <x:c r="B14" s="15" t="str">
        <x:v>research/02_chip_trade/risk_extension/results/monthly/risk_checks.csv</x:v>
      </x:c>
      <x:c r="C14" s="15" t="str">
        <x:v>88494aa4e2f34cc19a15645a5f03a25ccf959466d168ebf2d78acab41339a8bd</x:v>
      </x:c>
    </x:row>
    <x:row r="15" ht="22" customHeight="1">
      <x:c r="A15" s="2"/>
      <x:c r="B15" s="2"/>
      <x:c r="C15" s="2"/>
    </x:row>
    <x:row r="16" ht="22" customHeight="1">
      <x:c r="A16" s="2"/>
      <x:c r="B16" s="2"/>
      <x:c r="C16" s="2"/>
    </x:row>
    <x:row r="17" ht="26" customHeight="1">
      <x:c r="A17" s="8" t="str">
        <x:v>Определения</x:v>
      </x:c>
      <x:c r="B17" s="2"/>
      <x:c r="C17" s="2"/>
    </x:row>
    <x:row r="18" ht="36" customHeight="1">
      <x:c r="A18" s="13" t="str">
        <x:v>Термин</x:v>
      </x:c>
      <x:c r="B18" s="13" t="str">
        <x:v>Пояснение</x:v>
      </x:c>
      <x:c r="C18" s="2"/>
    </x:row>
    <x:row r="19" ht="22" customHeight="1">
      <x:c r="A19" s="15" t="str">
        <x:v>Источник статистики</x:v>
      </x:c>
      <x:c r="B19" s="15" t="str">
        <x:v>UN Comtrade, ежемесячный экспорт, текущие доллары США.</x:v>
      </x:c>
      <x:c r="C19" s="2"/>
    </x:row>
    <x:row r="20" ht="22" customHeight="1">
      <x:c r="A20" s="15" t="str">
        <x:v>Период данных</x:v>
      </x:c>
      <x:c r="B20" s="15" t="str">
        <x:v>Январь 2017 — декабрь 2024. История годового месячного роста: 2018–2024.</x:v>
      </x:c>
      <x:c r="C20" s="2"/>
    </x:row>
    <x:row r="21" ht="22" customHeight="1">
      <x:c r="A21" s="15" t="str">
        <x:v>Товары</x:v>
      </x:c>
      <x:c r="B21" s="15" t="str">
        <x:v>854231; 854232; 854233; 854239. Родительский 8542 и части 854290 исключены.</x:v>
      </x:c>
      <x:c r="C21" s="2"/>
    </x:row>
    <x:row r="22" ht="22" customHeight="1">
      <x:c r="A22" s="15" t="str">
        <x:v>Направления</x:v>
      </x:c>
      <x:c r="B22" s="15" t="str">
        <x:v>156; 344; 490; 704; 702; 608; 842; 764 и остаток −1.</x:v>
      </x:c>
      <x:c r="C22" s="2"/>
    </x:row>
    <x:row r="23" ht="22" customHeight="1">
      <x:c r="A23" s="15" t="str">
        <x:v>Код 490</x:v>
      </x:c>
      <x:c r="B23" s="15" t="str">
        <x:v>Other Asia, nes. Исходное статистическое наименование сохранено.</x:v>
      </x:c>
      <x:c r="C23" s="2"/>
    </x:row>
    <x:row r="24" ht="22" customHeight="1">
      <x:c r="A24" s="15" t="str">
        <x:v>Агрегирование</x:v>
      </x:c>
      <x:c r="B24" s="15" t="str">
        <x:v>Строки World (partnerCode=0) исключены из суммы направлений.</x:v>
      </x:c>
      <x:c r="C24" s="2"/>
    </x:row>
    <x:row r="25" ht="22" customHeight="1">
      <x:c r="A25" s="15" t="str">
        <x:v>Рост</x:v>
      </x:c>
      <x:c r="B25" s="15" t="str">
        <x:v>Симметричный: 200 × (текущий − прошлогодний)/(текущий + прошлогодний), п.п.</x:v>
      </x:c>
      <x:c r="C25" s="2"/>
    </x:row>
    <x:row r="26" ht="22" customHeight="1">
      <x:c r="A26" s="15" t="str">
        <x:v>Волатильность</x:v>
      </x:c>
      <x:c r="B26" s="15" t="str">
        <x:v>Выборочное стандартное отклонение условного индекса, п.п.</x:v>
      </x:c>
      <x:c r="C26" s="2"/>
    </x:row>
    <x:row r="27" ht="22" customHeight="1">
      <x:c r="A27" s="15" t="str">
        <x:v>Дисперсия</x:v>
      </x:c>
      <x:c r="B27" s="15" t="str">
        <x:v>Квадрат волатильности, п.п.². Не смешивать со стоимостным приростом.</x:v>
      </x:c>
      <x:c r="C27" s="2"/>
    </x:row>
    <x:row r="28" ht="22" customHeight="1">
      <x:c r="A28" s="15" t="str">
        <x:v>Основные интервалы</x:v>
      </x:c>
      <x:c r="B28" s="15" t="str">
        <x:v>95%, 1999 повторений, парный круговой блочный бутстрэп, блок 12 месяцев.</x:v>
      </x:c>
      <x:c r="C28" s="2"/>
    </x:row>
    <x:row r="29" ht="22" customHeight="1">
      <x:c r="A29" s="15" t="str">
        <x:v>Сценарии</x:v>
      </x:c>
      <x:c r="B29" s="15" t="str">
        <x:v>Условные исторические сопоставления. Не прогноз и не оценка причинного эффекта.</x:v>
      </x:c>
      <x:c r="C29" s="2"/>
    </x:row>
    <x:row r="30" ht="35" customHeight="1">
      <x:c r="A30" s="15" t="str">
        <x:v>Пересчёт</x:v>
      </x:c>
      <x:c r="B30" s="15" t="str">
        <x:v>Простые преобразования — формулы Excel. Оценки модели и интервалы — сохранённые результаты Python.</x:v>
      </x:c>
      <x:c r="C30" s="2"/>
    </x:row>
    <x:row r="31" ht="35" customHeight="1">
      <x:c r="A31" s="15" t="str">
        <x:v>Обновление модели</x:v>
      </x:c>
      <x:c r="B31" s="15" t="str">
        <x:v>Изменение месячных данных в Excel не пересчитывает замороженные ковариации, Шепли и бутстрэп.</x:v>
      </x:c>
      <x:c r="C31" s="2"/>
    </x:row>
    <x:row r="32" ht="22" customHeight="1">
      <x:c r="A32" s="15" t="str">
        <x:v>Пустые ячейки</x:v>
      </x:c>
      <x:c r="B32" s="15" t="str">
        <x:v>Нет годового месячного роста в 2017: отсутствует база 2016. Не заменять нулями.</x:v>
      </x:c>
      <x:c r="C32" s="2"/>
    </x:row>
    <x:row r="33" ht="35" customHeight="1">
      <x:c r="A33" s="15" t="str">
        <x:v>Нумерация</x:v>
      </x:c>
      <x:c r="B33" s="15" t="str">
        <x:v>Новая расширенная программа 30 рисунков. Номера могут отличаться от старой сборки Word.</x:v>
      </x:c>
      <x:c r="C33" s="2"/>
    </x:row>
    <x:row r="34" ht="22" customHeight="1">
      <x:c r="A34" s="2"/>
      <x:c r="B34" s="2"/>
      <x:c r="C34" s="2"/>
    </x:row>
    <x:row r="35" ht="22" customHeight="1">
      <x:c r="A35" s="2"/>
      <x:c r="B35" s="2"/>
      <x:c r="C35" s="2"/>
    </x:row>
    <x:row r="36" ht="26" customHeight="1">
      <x:c r="A36" s="8" t="str">
        <x:v>Справочник кодов</x:v>
      </x:c>
      <x:c r="B36" s="2"/>
      <x:c r="C36" s="2"/>
    </x:row>
    <x:row r="37" ht="36" customHeight="1">
      <x:c r="A37" s="13" t="str">
        <x:v>Код</x:v>
      </x:c>
      <x:c r="B37" s="13" t="str">
        <x:v>Название</x:v>
      </x:c>
      <x:c r="C37" s="2"/>
    </x:row>
    <x:row r="38" ht="22" customHeight="1">
      <x:c r="A38" s="15" t="str">
        <x:v>854231</x:v>
      </x:c>
      <x:c r="B38" s="15" t="str">
        <x:v>Процессоры и контроллеры</x:v>
      </x:c>
      <x:c r="C38" s="2"/>
    </x:row>
    <x:row r="39" ht="22" customHeight="1">
      <x:c r="A39" s="15" t="str">
        <x:v>854232</x:v>
      </x:c>
      <x:c r="B39" s="15" t="str">
        <x:v>Память</x:v>
      </x:c>
      <x:c r="C39" s="2"/>
    </x:row>
    <x:row r="40" ht="22" customHeight="1">
      <x:c r="A40" s="15" t="str">
        <x:v>854233</x:v>
      </x:c>
      <x:c r="B40" s="15" t="str">
        <x:v>Усилители</x:v>
      </x:c>
      <x:c r="C40" s="2"/>
    </x:row>
    <x:row r="41" ht="22" customHeight="1">
      <x:c r="A41" s="15" t="str">
        <x:v>854239</x:v>
      </x:c>
      <x:c r="B41" s="15" t="str">
        <x:v>Прочие интегральные схемы</x:v>
      </x:c>
      <x:c r="C41" s="2"/>
    </x:row>
    <x:row r="42" ht="22" customHeight="1">
      <x:c r="A42" s="15" t="str">
        <x:v>156</x:v>
      </x:c>
      <x:c r="B42" s="15" t="str">
        <x:v>Китай</x:v>
      </x:c>
      <x:c r="C42" s="2"/>
    </x:row>
    <x:row r="43" ht="22" customHeight="1">
      <x:c r="A43" s="15" t="str">
        <x:v>344</x:v>
      </x:c>
      <x:c r="B43" s="15" t="str">
        <x:v>Гонконг</x:v>
      </x:c>
      <x:c r="C43" s="2"/>
    </x:row>
    <x:row r="44" ht="22" customHeight="1">
      <x:c r="A44" s="15" t="str">
        <x:v>490</x:v>
      </x:c>
      <x:c r="B44" s="15" t="str">
        <x:v>Прочая Азия, н.в.д. (490)</x:v>
      </x:c>
      <x:c r="C44" s="2"/>
    </x:row>
    <x:row r="45" ht="22" customHeight="1">
      <x:c r="A45" s="15" t="str">
        <x:v>704</x:v>
      </x:c>
      <x:c r="B45" s="15" t="str">
        <x:v>Вьетнам</x:v>
      </x:c>
      <x:c r="C45" s="2"/>
    </x:row>
    <x:row r="46" ht="22" customHeight="1">
      <x:c r="A46" s="15" t="str">
        <x:v>702</x:v>
      </x:c>
      <x:c r="B46" s="15" t="str">
        <x:v>Сингапур</x:v>
      </x:c>
      <x:c r="C46" s="2"/>
    </x:row>
    <x:row r="47" ht="22" customHeight="1">
      <x:c r="A47" s="15" t="str">
        <x:v>608</x:v>
      </x:c>
      <x:c r="B47" s="15" t="str">
        <x:v>Филиппины</x:v>
      </x:c>
      <x:c r="C47" s="2"/>
    </x:row>
    <x:row r="48" ht="22" customHeight="1">
      <x:c r="A48" s="15" t="str">
        <x:v>842</x:v>
      </x:c>
      <x:c r="B48" s="15" t="str">
        <x:v>США</x:v>
      </x:c>
      <x:c r="C48" s="2"/>
    </x:row>
    <x:row r="49" ht="22" customHeight="1">
      <x:c r="A49" s="15" t="str">
        <x:v>764</x:v>
      </x:c>
      <x:c r="B49" s="15" t="str">
        <x:v>Таиланд</x:v>
      </x:c>
      <x:c r="C49" s="2"/>
    </x:row>
    <x:row r="50" ht="22" customHeight="1">
      <x:c r="A50" s="15" t="str">
        <x:v>-1</x:v>
      </x:c>
      <x:c r="B50" s="15" t="str">
        <x:v>Остальные направления</x:v>
      </x:c>
      <x:c r="C50" s="2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</x:row>
    <x:row r="2" ht="29" customHeight="1">
      <x:c r="A2" s="4" t="str">
        <x:v>Месячные суммы по товарам</x:v>
      </x:c>
      <x:c r="B2" s="5"/>
      <x:c r="C2" s="5"/>
      <x:c r="D2" s="5"/>
      <x:c r="E2" s="5"/>
      <x:c r="F2" s="5"/>
      <x:c r="G2" s="5"/>
    </x:row>
    <x:row r="3" ht="22" customHeight="1">
      <x:c r="A3" s="6" t="str">
        <x:v>Обработанные наблюдения: сумма отдельных направлений, World исключён. Доллары США, текущие цены.</x:v>
      </x:c>
      <x:c r="B3" s="2"/>
      <x:c r="C3" s="2"/>
      <x:c r="D3" s="2"/>
      <x:c r="E3" s="2"/>
      <x:c r="F3" s="2"/>
      <x:c r="G3" s="2"/>
    </x:row>
    <x:row r="4" ht="22" customHeight="1">
      <x:c r="A4" s="7" t="str">
        <x:v>Источник: S04</x:v>
      </x:c>
      <x:c r="B4" s="2"/>
      <x:c r="C4" s="2"/>
      <x:c r="D4" s="2"/>
      <x:c r="E4" s="2"/>
      <x:c r="F4" s="2"/>
      <x:c r="G4" s="2"/>
    </x:row>
    <x:row r="5" ht="26" customHeight="1">
      <x:c r="A5" s="8" t="str">
        <x:v>Месячные суммы</x:v>
      </x:c>
      <x:c r="B5" s="2"/>
      <x:c r="C5" s="2"/>
      <x:c r="D5" s="2"/>
      <x:c r="E5" s="2"/>
      <x:c r="F5" s="2"/>
      <x:c r="G5" s="2"/>
    </x:row>
    <x:row r="6" ht="36" customHeight="1">
      <x:c r="A6" s="13" t="str">
        <x:v>Страна</x:v>
      </x:c>
      <x:c r="B6" s="13" t="str">
        <x:v>Месяц</x:v>
      </x:c>
      <x:c r="C6" s="13" t="str">
        <x:v>854231, долл.</x:v>
      </x:c>
      <x:c r="D6" s="13" t="str">
        <x:v>854232, долл.</x:v>
      </x:c>
      <x:c r="E6" s="13" t="str">
        <x:v>854233, долл.</x:v>
      </x:c>
      <x:c r="F6" s="13" t="str">
        <x:v>854239, долл.</x:v>
      </x:c>
      <x:c r="G6" s="13" t="str">
        <x:v>Всего, долл.</x:v>
      </x:c>
    </x:row>
    <x:row r="7" ht="22" customHeight="1">
      <x:c r="A7" s="15" t="str">
        <x:v>Япония</x:v>
      </x:c>
      <x:c r="B7" s="20" t="d">
        <x:v>2017-01-01T00:00:00.000Z</x:v>
      </x:c>
      <x:c r="C7" s="19" t="n">
        <x:v>281530172.61399996</x:v>
      </x:c>
      <x:c r="D7" s="19" t="n">
        <x:v>687574227.578</x:v>
      </x:c>
      <x:c r="E7" s="19" t="n">
        <x:v>33377676.173</x:v>
      </x:c>
      <x:c r="F7" s="19" t="n">
        <x:v>791725662.7229999</x:v>
      </x:c>
      <x:c r="G7" s="19" t="n">
        <x:f>SUM(C7:F7)</x:f>
        <x:v>1794207739.0879998</x:v>
      </x:c>
    </x:row>
    <x:row r="8" ht="22" customHeight="1">
      <x:c r="A8" s="15" t="str">
        <x:v>Япония</x:v>
      </x:c>
      <x:c r="B8" s="20" t="d">
        <x:v>2017-02-01T00:00:00.000Z</x:v>
      </x:c>
      <x:c r="C8" s="19" t="n">
        <x:v>319132812.63600004</x:v>
      </x:c>
      <x:c r="D8" s="19" t="n">
        <x:v>748631042.148</x:v>
      </x:c>
      <x:c r="E8" s="19" t="n">
        <x:v>37105506.107999995</x:v>
      </x:c>
      <x:c r="F8" s="19" t="n">
        <x:v>818366070.5879999</x:v>
      </x:c>
      <x:c r="G8" s="19" t="n">
        <x:f>SUM(C8:F8)</x:f>
        <x:v>1923235431.48</x:v>
      </x:c>
    </x:row>
    <x:row r="9" ht="22" customHeight="1">
      <x:c r="A9" s="15" t="str">
        <x:v>Япония</x:v>
      </x:c>
      <x:c r="B9" s="20" t="d">
        <x:v>2017-03-01T00:00:00.000Z</x:v>
      </x:c>
      <x:c r="C9" s="19" t="n">
        <x:v>357180673.191</x:v>
      </x:c>
      <x:c r="D9" s="19" t="n">
        <x:v>750051230.521</x:v>
      </x:c>
      <x:c r="E9" s="19" t="n">
        <x:v>35891915.658</x:v>
      </x:c>
      <x:c r="F9" s="19" t="n">
        <x:v>844894113.45</x:v>
      </x:c>
      <x:c r="G9" s="19" t="n">
        <x:f>SUM(C9:F9)</x:f>
        <x:v>1988017932.82</x:v>
      </x:c>
    </x:row>
    <x:row r="10" ht="22" customHeight="1">
      <x:c r="A10" s="15" t="str">
        <x:v>Япония</x:v>
      </x:c>
      <x:c r="B10" s="20" t="d">
        <x:v>2017-04-01T00:00:00.000Z</x:v>
      </x:c>
      <x:c r="C10" s="19" t="n">
        <x:v>343031608.304</x:v>
      </x:c>
      <x:c r="D10" s="19" t="n">
        <x:v>740077496.7739999</x:v>
      </x:c>
      <x:c r="E10" s="19" t="n">
        <x:v>35515429.488000005</x:v>
      </x:c>
      <x:c r="F10" s="19" t="n">
        <x:v>888037973.13</x:v>
      </x:c>
      <x:c r="G10" s="19" t="n">
        <x:f>SUM(C10:F10)</x:f>
        <x:v>2006662507.696</x:v>
      </x:c>
    </x:row>
    <x:row r="11" ht="22" customHeight="1">
      <x:c r="A11" s="15" t="str">
        <x:v>Япония</x:v>
      </x:c>
      <x:c r="B11" s="20" t="d">
        <x:v>2017-05-01T00:00:00.000Z</x:v>
      </x:c>
      <x:c r="C11" s="19" t="n">
        <x:v>313299678.076</x:v>
      </x:c>
      <x:c r="D11" s="19" t="n">
        <x:v>697723277.852</x:v>
      </x:c>
      <x:c r="E11" s="19" t="n">
        <x:v>29085234.652</x:v>
      </x:c>
      <x:c r="F11" s="19" t="n">
        <x:v>815984540.744</x:v>
      </x:c>
      <x:c r="G11" s="19" t="n">
        <x:f>SUM(C11:F11)</x:f>
        <x:v>1856092731.324</x:v>
      </x:c>
    </x:row>
    <x:row r="12" ht="22" customHeight="1">
      <x:c r="A12" s="15" t="str">
        <x:v>Япония</x:v>
      </x:c>
      <x:c r="B12" s="20" t="d">
        <x:v>2017-06-01T00:00:00.000Z</x:v>
      </x:c>
      <x:c r="C12" s="19" t="n">
        <x:v>338174382</x:v>
      </x:c>
      <x:c r="D12" s="19" t="n">
        <x:v>786935296.3920001</x:v>
      </x:c>
      <x:c r="E12" s="19" t="n">
        <x:v>36421249.984</x:v>
      </x:c>
      <x:c r="F12" s="19" t="n">
        <x:v>902847354.584</x:v>
      </x:c>
      <x:c r="G12" s="19" t="n">
        <x:f>SUM(C12:F12)</x:f>
        <x:v>2064378282.96</x:v>
      </x:c>
    </x:row>
    <x:row r="13" ht="22" customHeight="1">
      <x:c r="A13" s="15" t="str">
        <x:v>Япония</x:v>
      </x:c>
      <x:c r="B13" s="20" t="d">
        <x:v>2017-07-01T00:00:00.000Z</x:v>
      </x:c>
      <x:c r="C13" s="19" t="n">
        <x:v>329303160.995</x:v>
      </x:c>
      <x:c r="D13" s="19" t="n">
        <x:v>817184447.738</x:v>
      </x:c>
      <x:c r="E13" s="19" t="n">
        <x:v>44980231.801</x:v>
      </x:c>
      <x:c r="F13" s="19" t="n">
        <x:v>899417623.872</x:v>
      </x:c>
      <x:c r="G13" s="19" t="n">
        <x:f>SUM(C13:F13)</x:f>
        <x:v>2090885464.406</x:v>
      </x:c>
    </x:row>
    <x:row r="14" ht="22" customHeight="1">
      <x:c r="A14" s="15" t="str">
        <x:v>Япония</x:v>
      </x:c>
      <x:c r="B14" s="20" t="d">
        <x:v>2017-08-01T00:00:00.000Z</x:v>
      </x:c>
      <x:c r="C14" s="19" t="n">
        <x:v>334431251.159</x:v>
      </x:c>
      <x:c r="D14" s="19" t="n">
        <x:v>930397369.7060001</x:v>
      </x:c>
      <x:c r="E14" s="19" t="n">
        <x:v>42493770.205</x:v>
      </x:c>
      <x:c r="F14" s="19" t="n">
        <x:v>970400042.943</x:v>
      </x:c>
      <x:c r="G14" s="19" t="n">
        <x:f>SUM(C14:F14)</x:f>
        <x:v>2277722434.013</x:v>
      </x:c>
    </x:row>
    <x:row r="15" ht="22" customHeight="1">
      <x:c r="A15" s="15" t="str">
        <x:v>Япония</x:v>
      </x:c>
      <x:c r="B15" s="20" t="d">
        <x:v>2017-09-01T00:00:00.000Z</x:v>
      </x:c>
      <x:c r="C15" s="19" t="n">
        <x:v>344241904.89</x:v>
      </x:c>
      <x:c r="D15" s="19" t="n">
        <x:v>889484447.68</x:v>
      </x:c>
      <x:c r="E15" s="19" t="n">
        <x:v>50316550.25</x:v>
      </x:c>
      <x:c r="F15" s="19" t="n">
        <x:v>989142982.874</x:v>
      </x:c>
      <x:c r="G15" s="19" t="n">
        <x:f>SUM(C15:F15)</x:f>
        <x:v>2273185885.694</x:v>
      </x:c>
    </x:row>
    <x:row r="16" ht="22" customHeight="1">
      <x:c r="A16" s="15" t="str">
        <x:v>Япония</x:v>
      </x:c>
      <x:c r="B16" s="20" t="d">
        <x:v>2017-10-01T00:00:00.000Z</x:v>
      </x:c>
      <x:c r="C16" s="19" t="n">
        <x:v>327666350.371</x:v>
      </x:c>
      <x:c r="D16" s="19" t="n">
        <x:v>829098553.845</x:v>
      </x:c>
      <x:c r="E16" s="19" t="n">
        <x:v>42350246.444</x:v>
      </x:c>
      <x:c r="F16" s="19" t="n">
        <x:v>945293283.565</x:v>
      </x:c>
      <x:c r="G16" s="19" t="n">
        <x:f>SUM(C16:F16)</x:f>
        <x:v>2144408434.2250001</x:v>
      </x:c>
    </x:row>
    <x:row r="17" ht="22" customHeight="1">
      <x:c r="A17" s="15" t="str">
        <x:v>Япония</x:v>
      </x:c>
      <x:c r="B17" s="20" t="d">
        <x:v>2017-11-01T00:00:00.000Z</x:v>
      </x:c>
      <x:c r="C17" s="19" t="n">
        <x:v>325728623.98</x:v>
      </x:c>
      <x:c r="D17" s="19" t="n">
        <x:v>892227018.394</x:v>
      </x:c>
      <x:c r="E17" s="19" t="n">
        <x:v>41592106.661</x:v>
      </x:c>
      <x:c r="F17" s="19" t="n">
        <x:v>981560863.4629999</x:v>
      </x:c>
      <x:c r="G17" s="19" t="n">
        <x:f>SUM(C17:F17)</x:f>
        <x:v>2241108612.498</x:v>
      </x:c>
    </x:row>
    <x:row r="18" ht="22" customHeight="1">
      <x:c r="A18" s="15" t="str">
        <x:v>Япония</x:v>
      </x:c>
      <x:c r="B18" s="20" t="d">
        <x:v>2017-12-01T00:00:00.000Z</x:v>
      </x:c>
      <x:c r="C18" s="19" t="n">
        <x:v>343844423.029</x:v>
      </x:c>
      <x:c r="D18" s="19" t="n">
        <x:v>972220055.343</x:v>
      </x:c>
      <x:c r="E18" s="19" t="n">
        <x:v>46177225.546</x:v>
      </x:c>
      <x:c r="F18" s="19" t="n">
        <x:v>970952108.76</x:v>
      </x:c>
      <x:c r="G18" s="19" t="n">
        <x:f>SUM(C18:F18)</x:f>
        <x:v>2333193812.678</x:v>
      </x:c>
    </x:row>
    <x:row r="19" ht="22" customHeight="1">
      <x:c r="A19" s="15" t="str">
        <x:v>Япония</x:v>
      </x:c>
      <x:c r="B19" s="20" t="d">
        <x:v>2018-01-01T00:00:00.000Z</x:v>
      </x:c>
      <x:c r="C19" s="19" t="n">
        <x:v>278273877.361</x:v>
      </x:c>
      <x:c r="D19" s="19" t="n">
        <x:v>882148913.706</x:v>
      </x:c>
      <x:c r="E19" s="19" t="n">
        <x:v>36960543.692</x:v>
      </x:c>
      <x:c r="F19" s="19" t="n">
        <x:v>792784350.492</x:v>
      </x:c>
      <x:c r="G19" s="19" t="n">
        <x:f>SUM(C19:F19)</x:f>
        <x:v>1990167685.251</x:v>
      </x:c>
    </x:row>
    <x:row r="20" ht="22" customHeight="1">
      <x:c r="A20" s="15" t="str">
        <x:v>Япония</x:v>
      </x:c>
      <x:c r="B20" s="20" t="d">
        <x:v>2018-02-01T00:00:00.000Z</x:v>
      </x:c>
      <x:c r="C20" s="19" t="n">
        <x:v>293906171.276</x:v>
      </x:c>
      <x:c r="D20" s="19" t="n">
        <x:v>902596064.359</x:v>
      </x:c>
      <x:c r="E20" s="19" t="n">
        <x:v>31329727.023999996</x:v>
      </x:c>
      <x:c r="F20" s="19" t="n">
        <x:v>682528146.163</x:v>
      </x:c>
      <x:c r="G20" s="19" t="n">
        <x:f>SUM(C20:F20)</x:f>
        <x:v>1910360108.822</x:v>
      </x:c>
    </x:row>
    <x:row r="21" ht="22" customHeight="1">
      <x:c r="A21" s="15" t="str">
        <x:v>Япония</x:v>
      </x:c>
      <x:c r="B21" s="20" t="d">
        <x:v>2018-03-01T00:00:00.000Z</x:v>
      </x:c>
      <x:c r="C21" s="19" t="n">
        <x:v>333705401.216</x:v>
      </x:c>
      <x:c r="D21" s="19" t="n">
        <x:v>1016348144.855</x:v>
      </x:c>
      <x:c r="E21" s="19" t="n">
        <x:v>37356860.941</x:v>
      </x:c>
      <x:c r="F21" s="19" t="n">
        <x:v>840913902.5</x:v>
      </x:c>
      <x:c r="G21" s="19" t="n">
        <x:f>SUM(C21:F21)</x:f>
        <x:v>2228324309.512</x:v>
      </x:c>
    </x:row>
    <x:row r="22" ht="22" customHeight="1">
      <x:c r="A22" s="15" t="str">
        <x:v>Япония</x:v>
      </x:c>
      <x:c r="B22" s="20" t="d">
        <x:v>2018-04-01T00:00:00.000Z</x:v>
      </x:c>
      <x:c r="C22" s="19" t="n">
        <x:v>307154243.76199996</x:v>
      </x:c>
      <x:c r="D22" s="19" t="n">
        <x:v>984771653.714</x:v>
      </x:c>
      <x:c r="E22" s="19" t="n">
        <x:v>33859300.385</x:v>
      </x:c>
      <x:c r="F22" s="19" t="n">
        <x:v>890414014.342</x:v>
      </x:c>
      <x:c r="G22" s="19" t="n">
        <x:f>SUM(C22:F22)</x:f>
        <x:v>2216199212.203</x:v>
      </x:c>
    </x:row>
    <x:row r="23" ht="22" customHeight="1">
      <x:c r="A23" s="15" t="str">
        <x:v>Япония</x:v>
      </x:c>
      <x:c r="B23" s="20" t="d">
        <x:v>2018-05-01T00:00:00.000Z</x:v>
      </x:c>
      <x:c r="C23" s="19" t="n">
        <x:v>280334398.147</x:v>
      </x:c>
      <x:c r="D23" s="19" t="n">
        <x:v>889661678.572</x:v>
      </x:c>
      <x:c r="E23" s="19" t="n">
        <x:v>32309273.871</x:v>
      </x:c>
      <x:c r="F23" s="19" t="n">
        <x:v>843577259.737</x:v>
      </x:c>
      <x:c r="G23" s="19" t="n">
        <x:f>SUM(C23:F23)</x:f>
        <x:v>2045882610.3270001</x:v>
      </x:c>
    </x:row>
    <x:row r="24" ht="22" customHeight="1">
      <x:c r="A24" s="15" t="str">
        <x:v>Япония</x:v>
      </x:c>
      <x:c r="B24" s="20" t="d">
        <x:v>2018-06-01T00:00:00.000Z</x:v>
      </x:c>
      <x:c r="C24" s="19" t="n">
        <x:v>309550158.11300004</x:v>
      </x:c>
      <x:c r="D24" s="19" t="n">
        <x:v>1069697663.341</x:v>
      </x:c>
      <x:c r="E24" s="19" t="n">
        <x:v>35624157.143</x:v>
      </x:c>
      <x:c r="F24" s="19" t="n">
        <x:v>860110228.511</x:v>
      </x:c>
      <x:c r="G24" s="19" t="n">
        <x:f>SUM(C24:F24)</x:f>
        <x:v>2274982207.108</x:v>
      </x:c>
    </x:row>
    <x:row r="25" ht="22" customHeight="1">
      <x:c r="A25" s="15" t="str">
        <x:v>Япония</x:v>
      </x:c>
      <x:c r="B25" s="20" t="d">
        <x:v>2018-07-01T00:00:00.000Z</x:v>
      </x:c>
      <x:c r="C25" s="19" t="n">
        <x:v>300814095.361</x:v>
      </x:c>
      <x:c r="D25" s="19" t="n">
        <x:v>1028682719.229</x:v>
      </x:c>
      <x:c r="E25" s="19" t="n">
        <x:v>36104622.786</x:v>
      </x:c>
      <x:c r="F25" s="19" t="n">
        <x:v>947546778.544</x:v>
      </x:c>
      <x:c r="G25" s="19" t="n">
        <x:f>SUM(C25:F25)</x:f>
        <x:v>2313148215.92</x:v>
      </x:c>
    </x:row>
    <x:row r="26" ht="22" customHeight="1">
      <x:c r="A26" s="15" t="str">
        <x:v>Япония</x:v>
      </x:c>
      <x:c r="B26" s="20" t="d">
        <x:v>2018-08-01T00:00:00.000Z</x:v>
      </x:c>
      <x:c r="C26" s="19" t="n">
        <x:v>289659727.816</x:v>
      </x:c>
      <x:c r="D26" s="19" t="n">
        <x:v>963445345.0059999</x:v>
      </x:c>
      <x:c r="E26" s="19" t="n">
        <x:v>39308715.595</x:v>
      </x:c>
      <x:c r="F26" s="19" t="n">
        <x:v>1061127457.1949999</x:v>
      </x:c>
      <x:c r="G26" s="19" t="n">
        <x:f>SUM(C26:F26)</x:f>
        <x:v>2353541245.612</x:v>
      </x:c>
    </x:row>
    <x:row r="27" ht="22" customHeight="1">
      <x:c r="A27" s="15" t="str">
        <x:v>Япония</x:v>
      </x:c>
      <x:c r="B27" s="20" t="d">
        <x:v>2018-09-01T00:00:00.000Z</x:v>
      </x:c>
      <x:c r="C27" s="19" t="n">
        <x:v>268149465.996</x:v>
      </x:c>
      <x:c r="D27" s="19" t="n">
        <x:v>821597056.783</x:v>
      </x:c>
      <x:c r="E27" s="19" t="n">
        <x:v>30327670.697</x:v>
      </x:c>
      <x:c r="F27" s="19" t="n">
        <x:v>1051901304.451</x:v>
      </x:c>
      <x:c r="G27" s="19" t="n">
        <x:f>SUM(C27:F27)</x:f>
        <x:v>2171975497.927</x:v>
      </x:c>
    </x:row>
    <x:row r="28" ht="22" customHeight="1">
      <x:c r="A28" s="15" t="str">
        <x:v>Япония</x:v>
      </x:c>
      <x:c r="B28" s="20" t="d">
        <x:v>2018-10-01T00:00:00.000Z</x:v>
      </x:c>
      <x:c r="C28" s="19" t="n">
        <x:v>290221220.677</x:v>
      </x:c>
      <x:c r="D28" s="19" t="n">
        <x:v>1024926833.619</x:v>
      </x:c>
      <x:c r="E28" s="19" t="n">
        <x:v>31379938.92</x:v>
      </x:c>
      <x:c r="F28" s="19" t="n">
        <x:v>1065645656.04</x:v>
      </x:c>
      <x:c r="G28" s="19" t="n">
        <x:f>SUM(C28:F28)</x:f>
        <x:v>2412173649.256</x:v>
      </x:c>
    </x:row>
    <x:row r="29" ht="22" customHeight="1">
      <x:c r="A29" s="15" t="str">
        <x:v>Япония</x:v>
      </x:c>
      <x:c r="B29" s="20" t="d">
        <x:v>2018-11-01T00:00:00.000Z</x:v>
      </x:c>
      <x:c r="C29" s="19" t="n">
        <x:v>268647494.958</x:v>
      </x:c>
      <x:c r="D29" s="19" t="n">
        <x:v>1031319618.8149999</x:v>
      </x:c>
      <x:c r="E29" s="19" t="n">
        <x:v>27480436.585</x:v>
      </x:c>
      <x:c r="F29" s="19" t="n">
        <x:v>932123394.717</x:v>
      </x:c>
      <x:c r="G29" s="19" t="n">
        <x:f>SUM(C29:F29)</x:f>
        <x:v>2259570945.075</x:v>
      </x:c>
    </x:row>
    <x:row r="30" ht="22" customHeight="1">
      <x:c r="A30" s="15" t="str">
        <x:v>Япония</x:v>
      </x:c>
      <x:c r="B30" s="20" t="d">
        <x:v>2018-12-01T00:00:00.000Z</x:v>
      </x:c>
      <x:c r="C30" s="19" t="n">
        <x:v>269225152.612</x:v>
      </x:c>
      <x:c r="D30" s="19" t="n">
        <x:v>984281697.168</x:v>
      </x:c>
      <x:c r="E30" s="19" t="n">
        <x:v>31707755.293</x:v>
      </x:c>
      <x:c r="F30" s="19" t="n">
        <x:v>826238697.626</x:v>
      </x:c>
      <x:c r="G30" s="19" t="n">
        <x:f>SUM(C30:F30)</x:f>
        <x:v>2111453302.699</x:v>
      </x:c>
    </x:row>
    <x:row r="31" ht="22" customHeight="1">
      <x:c r="A31" s="15" t="str">
        <x:v>Япония</x:v>
      </x:c>
      <x:c r="B31" s="20" t="d">
        <x:v>2019-01-01T00:00:00.000Z</x:v>
      </x:c>
      <x:c r="C31" s="19" t="n">
        <x:v>236058034.099</x:v>
      </x:c>
      <x:c r="D31" s="19" t="n">
        <x:v>875408485.1259999</x:v>
      </x:c>
      <x:c r="E31" s="19" t="n">
        <x:v>23130962.84</x:v>
      </x:c>
      <x:c r="F31" s="19" t="n">
        <x:v>788548490.3560001</x:v>
      </x:c>
      <x:c r="G31" s="19" t="n">
        <x:f>SUM(C31:F31)</x:f>
        <x:v>1923145972.421</x:v>
      </x:c>
    </x:row>
    <x:row r="32" ht="22" customHeight="1">
      <x:c r="A32" s="15" t="str">
        <x:v>Япония</x:v>
      </x:c>
      <x:c r="B32" s="20" t="d">
        <x:v>2019-02-01T00:00:00.000Z</x:v>
      </x:c>
      <x:c r="C32" s="19" t="n">
        <x:v>234878476.669</x:v>
      </x:c>
      <x:c r="D32" s="19" t="n">
        <x:v>685442554.159</x:v>
      </x:c>
      <x:c r="E32" s="19" t="n">
        <x:v>24769929.487</x:v>
      </x:c>
      <x:c r="F32" s="19" t="n">
        <x:v>717624253.24</x:v>
      </x:c>
      <x:c r="G32" s="19" t="n">
        <x:f>SUM(C32:F32)</x:f>
        <x:v>1662715213.555</x:v>
      </x:c>
    </x:row>
    <x:row r="33" ht="22" customHeight="1">
      <x:c r="A33" s="15" t="str">
        <x:v>Япония</x:v>
      </x:c>
      <x:c r="B33" s="20" t="d">
        <x:v>2019-03-01T00:00:00.000Z</x:v>
      </x:c>
      <x:c r="C33" s="19" t="n">
        <x:v>266571445.422</x:v>
      </x:c>
      <x:c r="D33" s="19" t="n">
        <x:v>791194346.867</x:v>
      </x:c>
      <x:c r="E33" s="19" t="n">
        <x:v>25125288.444</x:v>
      </x:c>
      <x:c r="F33" s="19" t="n">
        <x:v>900896190.68</x:v>
      </x:c>
      <x:c r="G33" s="19" t="n">
        <x:f>SUM(C33:F33)</x:f>
        <x:v>1983787271.413</x:v>
      </x:c>
    </x:row>
    <x:row r="34" ht="22" customHeight="1">
      <x:c r="A34" s="15" t="str">
        <x:v>Япония</x:v>
      </x:c>
      <x:c r="B34" s="20" t="d">
        <x:v>2019-04-01T00:00:00.000Z</x:v>
      </x:c>
      <x:c r="C34" s="19" t="n">
        <x:v>263544609.55699998</x:v>
      </x:c>
      <x:c r="D34" s="19" t="n">
        <x:v>776937658.974</x:v>
      </x:c>
      <x:c r="E34" s="19" t="n">
        <x:v>23637453.547</x:v>
      </x:c>
      <x:c r="F34" s="19" t="n">
        <x:v>908811030.481</x:v>
      </x:c>
      <x:c r="G34" s="19" t="n">
        <x:f>SUM(C34:F34)</x:f>
        <x:v>1972930752.559</x:v>
      </x:c>
    </x:row>
    <x:row r="35" ht="22" customHeight="1">
      <x:c r="A35" s="15" t="str">
        <x:v>Япония</x:v>
      </x:c>
      <x:c r="B35" s="20" t="d">
        <x:v>2019-05-01T00:00:00.000Z</x:v>
      </x:c>
      <x:c r="C35" s="19" t="n">
        <x:v>242127491.63500002</x:v>
      </x:c>
      <x:c r="D35" s="19" t="n">
        <x:v>951715749.835</x:v>
      </x:c>
      <x:c r="E35" s="19" t="n">
        <x:v>20086758.959</x:v>
      </x:c>
      <x:c r="F35" s="19" t="n">
        <x:v>839615398.83</x:v>
      </x:c>
      <x:c r="G35" s="19" t="n">
        <x:f>SUM(C35:F35)</x:f>
        <x:v>2053545399.2590003</x:v>
      </x:c>
    </x:row>
    <x:row r="36" ht="22" customHeight="1">
      <x:c r="A36" s="15" t="str">
        <x:v>Япония</x:v>
      </x:c>
      <x:c r="B36" s="20" t="d">
        <x:v>2019-06-01T00:00:00.000Z</x:v>
      </x:c>
      <x:c r="C36" s="19" t="n">
        <x:v>275218541.267</x:v>
      </x:c>
      <x:c r="D36" s="19" t="n">
        <x:v>880627784.671</x:v>
      </x:c>
      <x:c r="E36" s="19" t="n">
        <x:v>24287511.042</x:v>
      </x:c>
      <x:c r="F36" s="19" t="n">
        <x:v>951470384.955</x:v>
      </x:c>
      <x:c r="G36" s="19" t="n">
        <x:f>SUM(C36:F36)</x:f>
        <x:v>2131604221.935</x:v>
      </x:c>
    </x:row>
    <x:row r="37" ht="22" customHeight="1">
      <x:c r="A37" s="15" t="str">
        <x:v>Япония</x:v>
      </x:c>
      <x:c r="B37" s="20" t="d">
        <x:v>2019-07-01T00:00:00.000Z</x:v>
      </x:c>
      <x:c r="C37" s="19" t="n">
        <x:v>265139306.746</x:v>
      </x:c>
      <x:c r="D37" s="19" t="n">
        <x:v>881214871.415</x:v>
      </x:c>
      <x:c r="E37" s="19" t="n">
        <x:v>28204359.671</x:v>
      </x:c>
      <x:c r="F37" s="19" t="n">
        <x:v>1036353511.386</x:v>
      </x:c>
      <x:c r="G37" s="19" t="n">
        <x:f>SUM(C37:F37)</x:f>
        <x:v>2210912049.218</x:v>
      </x:c>
    </x:row>
    <x:row r="38" ht="22" customHeight="1">
      <x:c r="A38" s="15" t="str">
        <x:v>Япония</x:v>
      </x:c>
      <x:c r="B38" s="20" t="d">
        <x:v>2019-08-01T00:00:00.000Z</x:v>
      </x:c>
      <x:c r="C38" s="19" t="n">
        <x:v>273948160.103</x:v>
      </x:c>
      <x:c r="D38" s="19" t="n">
        <x:v>965895131.8039999</x:v>
      </x:c>
      <x:c r="E38" s="19" t="n">
        <x:v>32194785.546</x:v>
      </x:c>
      <x:c r="F38" s="19" t="n">
        <x:v>1174348556.26</x:v>
      </x:c>
      <x:c r="G38" s="19" t="n">
        <x:f>SUM(C38:F38)</x:f>
        <x:v>2446386633.713</x:v>
      </x:c>
    </x:row>
    <x:row r="39" ht="22" customHeight="1">
      <x:c r="A39" s="15" t="str">
        <x:v>Япония</x:v>
      </x:c>
      <x:c r="B39" s="20" t="d">
        <x:v>2019-09-01T00:00:00.000Z</x:v>
      </x:c>
      <x:c r="C39" s="19" t="n">
        <x:v>263410140.011</x:v>
      </x:c>
      <x:c r="D39" s="19" t="n">
        <x:v>1082279478.606</x:v>
      </x:c>
      <x:c r="E39" s="19" t="n">
        <x:v>28635857.591</x:v>
      </x:c>
      <x:c r="F39" s="19" t="n">
        <x:v>1094698577.962</x:v>
      </x:c>
      <x:c r="G39" s="19" t="n">
        <x:f>SUM(C39:F39)</x:f>
        <x:v>2469024054.17</x:v>
      </x:c>
    </x:row>
    <x:row r="40" ht="22" customHeight="1">
      <x:c r="A40" s="15" t="str">
        <x:v>Япония</x:v>
      </x:c>
      <x:c r="B40" s="20" t="d">
        <x:v>2019-10-01T00:00:00.000Z</x:v>
      </x:c>
      <x:c r="C40" s="19" t="n">
        <x:v>281394732.028</x:v>
      </x:c>
      <x:c r="D40" s="19" t="n">
        <x:v>1166394442.181</x:v>
      </x:c>
      <x:c r="E40" s="19" t="n">
        <x:v>28701006.489</x:v>
      </x:c>
      <x:c r="F40" s="19" t="n">
        <x:v>1129961715.819</x:v>
      </x:c>
      <x:c r="G40" s="19" t="n">
        <x:f>SUM(C40:F40)</x:f>
        <x:v>2606451896.517</x:v>
      </x:c>
    </x:row>
    <x:row r="41" ht="22" customHeight="1">
      <x:c r="A41" s="15" t="str">
        <x:v>Япония</x:v>
      </x:c>
      <x:c r="B41" s="20" t="d">
        <x:v>2019-11-01T00:00:00.000Z</x:v>
      </x:c>
      <x:c r="C41" s="19" t="n">
        <x:v>268506573.982</x:v>
      </x:c>
      <x:c r="D41" s="19" t="n">
        <x:v>1033582876.9380001</x:v>
      </x:c>
      <x:c r="E41" s="19" t="n">
        <x:v>25025753.384</x:v>
      </x:c>
      <x:c r="F41" s="19" t="n">
        <x:v>997334986.359</x:v>
      </x:c>
      <x:c r="G41" s="19" t="n">
        <x:f>SUM(C41:F41)</x:f>
        <x:v>2324450190.663</x:v>
      </x:c>
    </x:row>
    <x:row r="42" ht="22" customHeight="1">
      <x:c r="A42" s="15" t="str">
        <x:v>Япония</x:v>
      </x:c>
      <x:c r="B42" s="20" t="d">
        <x:v>2019-12-01T00:00:00.000Z</x:v>
      </x:c>
      <x:c r="C42" s="19" t="n">
        <x:v>266863483.70499998</x:v>
      </x:c>
      <x:c r="D42" s="19" t="n">
        <x:v>975494161.292</x:v>
      </x:c>
      <x:c r="E42" s="19" t="n">
        <x:v>23309993.398</x:v>
      </x:c>
      <x:c r="F42" s="19" t="n">
        <x:v>996218496.8610001</x:v>
      </x:c>
      <x:c r="G42" s="19" t="n">
        <x:f>SUM(C42:F42)</x:f>
        <x:v>2261886135.256</x:v>
      </x:c>
    </x:row>
    <x:row r="43" ht="22" customHeight="1">
      <x:c r="A43" s="15" t="str">
        <x:v>Япония</x:v>
      </x:c>
      <x:c r="B43" s="20" t="d">
        <x:v>2020-01-01T00:00:00.000Z</x:v>
      </x:c>
      <x:c r="C43" s="19" t="n">
        <x:v>208833686.341</x:v>
      </x:c>
      <x:c r="D43" s="19" t="n">
        <x:v>916951381.305</x:v>
      </x:c>
      <x:c r="E43" s="19" t="n">
        <x:v>23890815.961</x:v>
      </x:c>
      <x:c r="F43" s="19" t="n">
        <x:v>849234074.864</x:v>
      </x:c>
      <x:c r="G43" s="19" t="n">
        <x:f>SUM(C43:F43)</x:f>
        <x:v>1998909958.4709997</x:v>
      </x:c>
    </x:row>
    <x:row r="44" ht="22" customHeight="1">
      <x:c r="A44" s="15" t="str">
        <x:v>Япония</x:v>
      </x:c>
      <x:c r="B44" s="20" t="d">
        <x:v>2020-02-01T00:00:00.000Z</x:v>
      </x:c>
      <x:c r="C44" s="19" t="n">
        <x:v>249274050.137</x:v>
      </x:c>
      <x:c r="D44" s="19" t="n">
        <x:v>874290728.404</x:v>
      </x:c>
      <x:c r="E44" s="19" t="n">
        <x:v>20708739.56</x:v>
      </x:c>
      <x:c r="F44" s="19" t="n">
        <x:v>880719006.541</x:v>
      </x:c>
      <x:c r="G44" s="19" t="n">
        <x:f>SUM(C44:F44)</x:f>
        <x:v>2024992524.6420002</x:v>
      </x:c>
    </x:row>
    <x:row r="45" ht="22" customHeight="1">
      <x:c r="A45" s="15" t="str">
        <x:v>Япония</x:v>
      </x:c>
      <x:c r="B45" s="20" t="d">
        <x:v>2020-03-01T00:00:00.000Z</x:v>
      </x:c>
      <x:c r="C45" s="19" t="n">
        <x:v>244594447.432</x:v>
      </x:c>
      <x:c r="D45" s="19" t="n">
        <x:v>1057325762.039</x:v>
      </x:c>
      <x:c r="E45" s="19" t="n">
        <x:v>23521171.224</x:v>
      </x:c>
      <x:c r="F45" s="19" t="n">
        <x:v>854630642.668</x:v>
      </x:c>
      <x:c r="G45" s="19" t="n">
        <x:f>SUM(C45:F45)</x:f>
        <x:v>2180072023.363</x:v>
      </x:c>
    </x:row>
    <x:row r="46" ht="22" customHeight="1">
      <x:c r="A46" s="15" t="str">
        <x:v>Япония</x:v>
      </x:c>
      <x:c r="B46" s="20" t="d">
        <x:v>2020-04-01T00:00:00.000Z</x:v>
      </x:c>
      <x:c r="C46" s="19" t="n">
        <x:v>216534916.988</x:v>
      </x:c>
      <x:c r="D46" s="19" t="n">
        <x:v>1061367238.719</x:v>
      </x:c>
      <x:c r="E46" s="19" t="n">
        <x:v>20351050.937999997</x:v>
      </x:c>
      <x:c r="F46" s="19" t="n">
        <x:v>829785511.6949999</x:v>
      </x:c>
      <x:c r="G46" s="19" t="n">
        <x:f>SUM(C46:F46)</x:f>
        <x:v>2128038718.34</x:v>
      </x:c>
    </x:row>
    <x:row r="47" ht="22" customHeight="1">
      <x:c r="A47" s="15" t="str">
        <x:v>Япония</x:v>
      </x:c>
      <x:c r="B47" s="20" t="d">
        <x:v>2020-05-01T00:00:00.000Z</x:v>
      </x:c>
      <x:c r="C47" s="19" t="n">
        <x:v>189410523.914</x:v>
      </x:c>
      <x:c r="D47" s="19" t="n">
        <x:v>1048674195.318</x:v>
      </x:c>
      <x:c r="E47" s="19" t="n">
        <x:v>23022829.860999998</x:v>
      </x:c>
      <x:c r="F47" s="19" t="n">
        <x:v>706571036.154</x:v>
      </x:c>
      <x:c r="G47" s="19" t="n">
        <x:f>SUM(C47:F47)</x:f>
        <x:v>1967678585.247</x:v>
      </x:c>
    </x:row>
    <x:row r="48" ht="22" customHeight="1">
      <x:c r="A48" s="15" t="str">
        <x:v>Япония</x:v>
      </x:c>
      <x:c r="B48" s="20" t="d">
        <x:v>2020-06-01T00:00:00.000Z</x:v>
      </x:c>
      <x:c r="C48" s="19" t="n">
        <x:v>201456564.15899998</x:v>
      </x:c>
      <x:c r="D48" s="19" t="n">
        <x:v>971903327.0899999</x:v>
      </x:c>
      <x:c r="E48" s="19" t="n">
        <x:v>20768024.854999997</x:v>
      </x:c>
      <x:c r="F48" s="19" t="n">
        <x:v>770389954.837</x:v>
      </x:c>
      <x:c r="G48" s="19" t="n">
        <x:f>SUM(C48:F48)</x:f>
        <x:v>1964517870.941</x:v>
      </x:c>
    </x:row>
    <x:row r="49" ht="22" customHeight="1">
      <x:c r="A49" s="15" t="str">
        <x:v>Япония</x:v>
      </x:c>
      <x:c r="B49" s="20" t="d">
        <x:v>2020-07-01T00:00:00.000Z</x:v>
      </x:c>
      <x:c r="C49" s="19" t="n">
        <x:v>209629906.069</x:v>
      </x:c>
      <x:c r="D49" s="19" t="n">
        <x:v>1088122024.329</x:v>
      </x:c>
      <x:c r="E49" s="19" t="n">
        <x:v>26387607.555</x:v>
      </x:c>
      <x:c r="F49" s="19" t="n">
        <x:v>862186659.335</x:v>
      </x:c>
      <x:c r="G49" s="19" t="n">
        <x:f>SUM(C49:F49)</x:f>
        <x:v>2186326197.288</x:v>
      </x:c>
    </x:row>
    <x:row r="50" ht="22" customHeight="1">
      <x:c r="A50" s="15" t="str">
        <x:v>Япония</x:v>
      </x:c>
      <x:c r="B50" s="20" t="d">
        <x:v>2020-08-01T00:00:00.000Z</x:v>
      </x:c>
      <x:c r="C50" s="19" t="n">
        <x:v>217174572.709</x:v>
      </x:c>
      <x:c r="D50" s="19" t="n">
        <x:v>1185103624.616</x:v>
      </x:c>
      <x:c r="E50" s="19" t="n">
        <x:v>22183305.062</x:v>
      </x:c>
      <x:c r="F50" s="19" t="n">
        <x:v>958930433.6539999</x:v>
      </x:c>
      <x:c r="G50" s="19" t="n">
        <x:f>SUM(C50:F50)</x:f>
        <x:v>2383391936.041</x:v>
      </x:c>
    </x:row>
    <x:row r="51" ht="22" customHeight="1">
      <x:c r="A51" s="15" t="str">
        <x:v>Япония</x:v>
      </x:c>
      <x:c r="B51" s="20" t="d">
        <x:v>2020-09-01T00:00:00.000Z</x:v>
      </x:c>
      <x:c r="C51" s="19" t="n">
        <x:v>240293249.40399998</x:v>
      </x:c>
      <x:c r="D51" s="19" t="n">
        <x:v>1085887474.445</x:v>
      </x:c>
      <x:c r="E51" s="19" t="n">
        <x:v>24231853.845</x:v>
      </x:c>
      <x:c r="F51" s="19" t="n">
        <x:v>1178045714.195</x:v>
      </x:c>
      <x:c r="G51" s="19" t="n">
        <x:f>SUM(C51:F51)</x:f>
        <x:v>2528458291.889</x:v>
      </x:c>
    </x:row>
    <x:row r="52" ht="22" customHeight="1">
      <x:c r="A52" s="15" t="str">
        <x:v>Япония</x:v>
      </x:c>
      <x:c r="B52" s="20" t="d">
        <x:v>2020-10-01T00:00:00.000Z</x:v>
      </x:c>
      <x:c r="C52" s="19" t="n">
        <x:v>271256115.863</x:v>
      </x:c>
      <x:c r="D52" s="19" t="n">
        <x:v>1058491880.5580001</x:v>
      </x:c>
      <x:c r="E52" s="19" t="n">
        <x:v>26323492.439</x:v>
      </x:c>
      <x:c r="F52" s="19" t="n">
        <x:v>1112058127.895</x:v>
      </x:c>
      <x:c r="G52" s="19" t="n">
        <x:f>SUM(C52:F52)</x:f>
        <x:v>2468129616.755</x:v>
      </x:c>
    </x:row>
    <x:row r="53" ht="22" customHeight="1">
      <x:c r="A53" s="15" t="str">
        <x:v>Япония</x:v>
      </x:c>
      <x:c r="B53" s="20" t="d">
        <x:v>2020-11-01T00:00:00.000Z</x:v>
      </x:c>
      <x:c r="C53" s="19" t="n">
        <x:v>246418284.79500002</x:v>
      </x:c>
      <x:c r="D53" s="19" t="n">
        <x:v>957410514.563</x:v>
      </x:c>
      <x:c r="E53" s="19" t="n">
        <x:v>22959805.823999997</x:v>
      </x:c>
      <x:c r="F53" s="19" t="n">
        <x:v>1040507180.359</x:v>
      </x:c>
      <x:c r="G53" s="19" t="n">
        <x:f>SUM(C53:F53)</x:f>
        <x:v>2267295785.541</x:v>
      </x:c>
    </x:row>
    <x:row r="54" ht="22" customHeight="1">
      <x:c r="A54" s="15" t="str">
        <x:v>Япония</x:v>
      </x:c>
      <x:c r="B54" s="20" t="d">
        <x:v>2020-12-01T00:00:00.000Z</x:v>
      </x:c>
      <x:c r="C54" s="19" t="n">
        <x:v>280291838.742</x:v>
      </x:c>
      <x:c r="D54" s="19" t="n">
        <x:v>941325908.878</x:v>
      </x:c>
      <x:c r="E54" s="19" t="n">
        <x:v>29018507.348</x:v>
      </x:c>
      <x:c r="F54" s="19" t="n">
        <x:v>1158982617.7419999</x:v>
      </x:c>
      <x:c r="G54" s="19" t="n">
        <x:f>SUM(C54:F54)</x:f>
        <x:v>2409618872.71</x:v>
      </x:c>
    </x:row>
    <x:row r="55" ht="22" customHeight="1">
      <x:c r="A55" s="15" t="str">
        <x:v>Япония</x:v>
      </x:c>
      <x:c r="B55" s="20" t="d">
        <x:v>2021-01-01T00:00:00.000Z</x:v>
      </x:c>
      <x:c r="C55" s="19" t="n">
        <x:v>248571814.3</x:v>
      </x:c>
      <x:c r="D55" s="19" t="n">
        <x:v>1128432012.0149999</x:v>
      </x:c>
      <x:c r="E55" s="19" t="n">
        <x:v>23376818.787</x:v>
      </x:c>
      <x:c r="F55" s="19" t="n">
        <x:v>952035551.681</x:v>
      </x:c>
      <x:c r="G55" s="19" t="n">
        <x:f>SUM(C55:F55)</x:f>
        <x:v>2352416196.783</x:v>
      </x:c>
    </x:row>
    <x:row r="56" ht="22" customHeight="1">
      <x:c r="A56" s="15" t="str">
        <x:v>Япония</x:v>
      </x:c>
      <x:c r="B56" s="20" t="d">
        <x:v>2021-02-01T00:00:00.000Z</x:v>
      </x:c>
      <x:c r="C56" s="19" t="n">
        <x:v>251532374.75</x:v>
      </x:c>
      <x:c r="D56" s="19" t="n">
        <x:v>1033563845.372</x:v>
      </x:c>
      <x:c r="E56" s="19" t="n">
        <x:v>22015087.582000002</x:v>
      </x:c>
      <x:c r="F56" s="19" t="n">
        <x:v>843258921.672</x:v>
      </x:c>
      <x:c r="G56" s="19" t="n">
        <x:f>SUM(C56:F56)</x:f>
        <x:v>2150370229.376</x:v>
      </x:c>
    </x:row>
    <x:row r="57" ht="22" customHeight="1">
      <x:c r="A57" s="15" t="str">
        <x:v>Япония</x:v>
      </x:c>
      <x:c r="B57" s="20" t="d">
        <x:v>2021-03-01T00:00:00.000Z</x:v>
      </x:c>
      <x:c r="C57" s="19" t="n">
        <x:v>286760141.454</x:v>
      </x:c>
      <x:c r="D57" s="19" t="n">
        <x:v>1132392963.938</x:v>
      </x:c>
      <x:c r="E57" s="19" t="n">
        <x:v>24858785.897</x:v>
      </x:c>
      <x:c r="F57" s="19" t="n">
        <x:v>928259895.938</x:v>
      </x:c>
      <x:c r="G57" s="19" t="n">
        <x:f>SUM(C57:F57)</x:f>
        <x:v>2372271787.227</x:v>
      </x:c>
    </x:row>
    <x:row r="58" ht="22" customHeight="1">
      <x:c r="A58" s="15" t="str">
        <x:v>Япония</x:v>
      </x:c>
      <x:c r="B58" s="20" t="d">
        <x:v>2021-04-01T00:00:00.000Z</x:v>
      </x:c>
      <x:c r="C58" s="19" t="n">
        <x:v>279635019.334</x:v>
      </x:c>
      <x:c r="D58" s="19" t="n">
        <x:v>1090267844.847</x:v>
      </x:c>
      <x:c r="E58" s="19" t="n">
        <x:v>24897675.476</x:v>
      </x:c>
      <x:c r="F58" s="19" t="n">
        <x:v>994199572.765</x:v>
      </x:c>
      <x:c r="G58" s="19" t="n">
        <x:f>SUM(C58:F58)</x:f>
        <x:v>2389000112.422</x:v>
      </x:c>
    </x:row>
    <x:row r="59" ht="22" customHeight="1">
      <x:c r="A59" s="15" t="str">
        <x:v>Япония</x:v>
      </x:c>
      <x:c r="B59" s="20" t="d">
        <x:v>2021-05-01T00:00:00.000Z</x:v>
      </x:c>
      <x:c r="C59" s="19" t="n">
        <x:v>252666608.338</x:v>
      </x:c>
      <x:c r="D59" s="19" t="n">
        <x:v>1209437741.389</x:v>
      </x:c>
      <x:c r="E59" s="19" t="n">
        <x:v>21800130.862</x:v>
      </x:c>
      <x:c r="F59" s="19" t="n">
        <x:v>763283362.958</x:v>
      </x:c>
      <x:c r="G59" s="19" t="n">
        <x:f>SUM(C59:F59)</x:f>
        <x:v>2247187843.547</x:v>
      </x:c>
    </x:row>
    <x:row r="60" ht="22" customHeight="1">
      <x:c r="A60" s="15" t="str">
        <x:v>Япония</x:v>
      </x:c>
      <x:c r="B60" s="20" t="d">
        <x:v>2021-06-01T00:00:00.000Z</x:v>
      </x:c>
      <x:c r="C60" s="19" t="n">
        <x:v>273640957.886</x:v>
      </x:c>
      <x:c r="D60" s="19" t="n">
        <x:v>1216967652.984</x:v>
      </x:c>
      <x:c r="E60" s="19" t="n">
        <x:v>24592954.395999998</x:v>
      </x:c>
      <x:c r="F60" s="19" t="n">
        <x:v>828040635.104</x:v>
      </x:c>
      <x:c r="G60" s="19" t="n">
        <x:f>SUM(C60:F60)</x:f>
        <x:v>2343242200.37</x:v>
      </x:c>
    </x:row>
    <x:row r="61" ht="22" customHeight="1">
      <x:c r="A61" s="15" t="str">
        <x:v>Япония</x:v>
      </x:c>
      <x:c r="B61" s="20" t="d">
        <x:v>2021-07-01T00:00:00.000Z</x:v>
      </x:c>
      <x:c r="C61" s="19" t="n">
        <x:v>288346435.049</x:v>
      </x:c>
      <x:c r="D61" s="19" t="n">
        <x:v>1290305671.287</x:v>
      </x:c>
      <x:c r="E61" s="19" t="n">
        <x:v>25371073.546</x:v>
      </x:c>
      <x:c r="F61" s="19" t="n">
        <x:v>1030444143.3970001</x:v>
      </x:c>
      <x:c r="G61" s="19" t="n">
        <x:f>SUM(C61:F61)</x:f>
        <x:v>2634467323.2790003</x:v>
      </x:c>
    </x:row>
    <x:row r="62" ht="22" customHeight="1">
      <x:c r="A62" s="15" t="str">
        <x:v>Япония</x:v>
      </x:c>
      <x:c r="B62" s="20" t="d">
        <x:v>2021-08-01T00:00:00.000Z</x:v>
      </x:c>
      <x:c r="C62" s="19" t="n">
        <x:v>277573935.387</x:v>
      </x:c>
      <x:c r="D62" s="19" t="n">
        <x:v>1299245099.184</x:v>
      </x:c>
      <x:c r="E62" s="19" t="n">
        <x:v>21072583.759999998</x:v>
      </x:c>
      <x:c r="F62" s="19" t="n">
        <x:v>994277480.465</x:v>
      </x:c>
      <x:c r="G62" s="19" t="n">
        <x:f>SUM(C62:F62)</x:f>
        <x:v>2592169098.796</x:v>
      </x:c>
    </x:row>
    <x:row r="63" ht="22" customHeight="1">
      <x:c r="A63" s="15" t="str">
        <x:v>Япония</x:v>
      </x:c>
      <x:c r="B63" s="20" t="d">
        <x:v>2021-09-01T00:00:00.000Z</x:v>
      </x:c>
      <x:c r="C63" s="19" t="n">
        <x:v>302565972.304</x:v>
      </x:c>
      <x:c r="D63" s="19" t="n">
        <x:v>1351222001.522</x:v>
      </x:c>
      <x:c r="E63" s="19" t="n">
        <x:v>21127034.581</x:v>
      </x:c>
      <x:c r="F63" s="19" t="n">
        <x:v>1173915244.839</x:v>
      </x:c>
      <x:c r="G63" s="19" t="n">
        <x:f>SUM(C63:F63)</x:f>
        <x:v>2848830253.2460003</x:v>
      </x:c>
    </x:row>
    <x:row r="64" ht="22" customHeight="1">
      <x:c r="A64" s="15" t="str">
        <x:v>Япония</x:v>
      </x:c>
      <x:c r="B64" s="20" t="d">
        <x:v>2021-10-01T00:00:00.000Z</x:v>
      </x:c>
      <x:c r="C64" s="19" t="n">
        <x:v>290794247.697</x:v>
      </x:c>
      <x:c r="D64" s="19" t="n">
        <x:v>1349922873.6269999</x:v>
      </x:c>
      <x:c r="E64" s="19" t="n">
        <x:v>21934889.417</x:v>
      </x:c>
      <x:c r="F64" s="19" t="n">
        <x:v>1125663658.944</x:v>
      </x:c>
      <x:c r="G64" s="19" t="n">
        <x:f>SUM(C64:F64)</x:f>
        <x:v>2788315669.685</x:v>
      </x:c>
    </x:row>
    <x:row r="65" ht="22" customHeight="1">
      <x:c r="A65" s="15" t="str">
        <x:v>Япония</x:v>
      </x:c>
      <x:c r="B65" s="20" t="d">
        <x:v>2021-11-01T00:00:00.000Z</x:v>
      </x:c>
      <x:c r="C65" s="19" t="n">
        <x:v>284255244.121</x:v>
      </x:c>
      <x:c r="D65" s="19" t="n">
        <x:v>1219530028.448</x:v>
      </x:c>
      <x:c r="E65" s="19" t="n">
        <x:v>20072785.996</x:v>
      </x:c>
      <x:c r="F65" s="19" t="n">
        <x:v>1188987965.307</x:v>
      </x:c>
      <x:c r="G65" s="19" t="n">
        <x:f>SUM(C65:F65)</x:f>
        <x:v>2712846023.8719997</x:v>
      </x:c>
    </x:row>
    <x:row r="66" ht="22" customHeight="1">
      <x:c r="A66" s="15" t="str">
        <x:v>Япония</x:v>
      </x:c>
      <x:c r="B66" s="20" t="d">
        <x:v>2021-12-01T00:00:00.000Z</x:v>
      </x:c>
      <x:c r="C66" s="19" t="n">
        <x:v>311849000.827</x:v>
      </x:c>
      <x:c r="D66" s="19" t="n">
        <x:v>1340737822.468</x:v>
      </x:c>
      <x:c r="E66" s="19" t="n">
        <x:v>21976081.142</x:v>
      </x:c>
      <x:c r="F66" s="19" t="n">
        <x:v>1319771031.52</x:v>
      </x:c>
      <x:c r="G66" s="19" t="n">
        <x:f>SUM(C66:F66)</x:f>
        <x:v>2994333935.957</x:v>
      </x:c>
    </x:row>
    <x:row r="67" ht="22" customHeight="1">
      <x:c r="A67" s="15" t="str">
        <x:v>Япония</x:v>
      </x:c>
      <x:c r="B67" s="20" t="d">
        <x:v>2022-01-01T00:00:00.000Z</x:v>
      </x:c>
      <x:c r="C67" s="19" t="n">
        <x:v>274654568.73399997</x:v>
      </x:c>
      <x:c r="D67" s="19" t="n">
        <x:v>1242587155.216</x:v>
      </x:c>
      <x:c r="E67" s="19" t="n">
        <x:v>23102314.662</x:v>
      </x:c>
      <x:c r="F67" s="19" t="n">
        <x:v>903018195.11</x:v>
      </x:c>
      <x:c r="G67" s="19" t="n">
        <x:f>SUM(C67:F67)</x:f>
        <x:v>2443362233.722</x:v>
      </x:c>
    </x:row>
    <x:row r="68" ht="22" customHeight="1">
      <x:c r="A68" s="15" t="str">
        <x:v>Япония</x:v>
      </x:c>
      <x:c r="B68" s="20" t="d">
        <x:v>2022-02-01T00:00:00.000Z</x:v>
      </x:c>
      <x:c r="C68" s="19" t="n">
        <x:v>305245764.165</x:v>
      </x:c>
      <x:c r="D68" s="19" t="n">
        <x:v>1152612393.579</x:v>
      </x:c>
      <x:c r="E68" s="19" t="n">
        <x:v>21903353.781999998</x:v>
      </x:c>
      <x:c r="F68" s="19" t="n">
        <x:v>946615767.7969999</x:v>
      </x:c>
      <x:c r="G68" s="19" t="n">
        <x:f>SUM(C68:F68)</x:f>
        <x:v>2426377279.323</x:v>
      </x:c>
    </x:row>
    <x:row r="69" ht="22" customHeight="1">
      <x:c r="A69" s="15" t="str">
        <x:v>Япония</x:v>
      </x:c>
      <x:c r="B69" s="20" t="d">
        <x:v>2022-03-01T00:00:00.000Z</x:v>
      </x:c>
      <x:c r="C69" s="19" t="n">
        <x:v>317264844.839</x:v>
      </x:c>
      <x:c r="D69" s="19" t="n">
        <x:v>1056875520.9189999</x:v>
      </x:c>
      <x:c r="E69" s="19" t="n">
        <x:v>22765036.848</x:v>
      </x:c>
      <x:c r="F69" s="19" t="n">
        <x:v>1134872768.031</x:v>
      </x:c>
      <x:c r="G69" s="19" t="n">
        <x:f>SUM(C69:F69)</x:f>
        <x:v>2531778170.637</x:v>
      </x:c>
    </x:row>
    <x:row r="70" ht="22" customHeight="1">
      <x:c r="A70" s="15" t="str">
        <x:v>Япония</x:v>
      </x:c>
      <x:c r="B70" s="20" t="d">
        <x:v>2022-04-01T00:00:00.000Z</x:v>
      </x:c>
      <x:c r="C70" s="19" t="n">
        <x:v>291900562.418</x:v>
      </x:c>
      <x:c r="D70" s="19" t="n">
        <x:v>1033564154.92</x:v>
      </x:c>
      <x:c r="E70" s="19" t="n">
        <x:v>20086139.228</x:v>
      </x:c>
      <x:c r="F70" s="19" t="n">
        <x:v>900090037.828</x:v>
      </x:c>
      <x:c r="G70" s="19" t="n">
        <x:f>SUM(C70:F70)</x:f>
        <x:v>2245640894.3939996</x:v>
      </x:c>
    </x:row>
    <x:row r="71" ht="22" customHeight="1">
      <x:c r="A71" s="15" t="str">
        <x:v>Япония</x:v>
      </x:c>
      <x:c r="B71" s="20" t="d">
        <x:v>2022-05-01T00:00:00.000Z</x:v>
      </x:c>
      <x:c r="C71" s="19" t="n">
        <x:v>288226396.29</x:v>
      </x:c>
      <x:c r="D71" s="19" t="n">
        <x:v>1223978507.2719998</x:v>
      </x:c>
      <x:c r="E71" s="19" t="n">
        <x:v>18962047.388</x:v>
      </x:c>
      <x:c r="F71" s="19" t="n">
        <x:v>861480973.457</x:v>
      </x:c>
      <x:c r="G71" s="19" t="n">
        <x:f>SUM(C71:F71)</x:f>
        <x:v>2392647924.4069996</x:v>
      </x:c>
    </x:row>
    <x:row r="72" ht="22" customHeight="1">
      <x:c r="A72" s="15" t="str">
        <x:v>Япония</x:v>
      </x:c>
      <x:c r="B72" s="20" t="d">
        <x:v>2022-06-01T00:00:00.000Z</x:v>
      </x:c>
      <x:c r="C72" s="19" t="n">
        <x:v>313987692.778</x:v>
      </x:c>
      <x:c r="D72" s="19" t="n">
        <x:v>1427167653.478</x:v>
      </x:c>
      <x:c r="E72" s="19" t="n">
        <x:v>21525716.63</x:v>
      </x:c>
      <x:c r="F72" s="19" t="n">
        <x:v>959947590.8100001</x:v>
      </x:c>
      <x:c r="G72" s="19" t="n">
        <x:f>SUM(C72:F72)</x:f>
        <x:v>2722628653.696</x:v>
      </x:c>
    </x:row>
    <x:row r="73" ht="22" customHeight="1">
      <x:c r="A73" s="15" t="str">
        <x:v>Япония</x:v>
      </x:c>
      <x:c r="B73" s="20" t="d">
        <x:v>2022-07-01T00:00:00.000Z</x:v>
      </x:c>
      <x:c r="C73" s="19" t="n">
        <x:v>310485637.8</x:v>
      </x:c>
      <x:c r="D73" s="19" t="n">
        <x:v>1216063912.606</x:v>
      </x:c>
      <x:c r="E73" s="19" t="n">
        <x:v>18974201.266</x:v>
      </x:c>
      <x:c r="F73" s="19" t="n">
        <x:v>1104624604.6430001</x:v>
      </x:c>
      <x:c r="G73" s="19" t="n">
        <x:f>SUM(C73:F73)</x:f>
        <x:v>2650148356.315</x:v>
      </x:c>
    </x:row>
    <x:row r="74" ht="22" customHeight="1">
      <x:c r="A74" s="15" t="str">
        <x:v>Япония</x:v>
      </x:c>
      <x:c r="B74" s="20" t="d">
        <x:v>2022-08-01T00:00:00.000Z</x:v>
      </x:c>
      <x:c r="C74" s="19" t="n">
        <x:v>279018715.58100003</x:v>
      </x:c>
      <x:c r="D74" s="19" t="n">
        <x:v>846305833.669</x:v>
      </x:c>
      <x:c r="E74" s="19" t="n">
        <x:v>19567766.479000002</x:v>
      </x:c>
      <x:c r="F74" s="19" t="n">
        <x:v>1147659509.73</x:v>
      </x:c>
      <x:c r="G74" s="19" t="n">
        <x:f>SUM(C74:F74)</x:f>
        <x:v>2292551825.459</x:v>
      </x:c>
    </x:row>
    <x:row r="75" ht="22" customHeight="1">
      <x:c r="A75" s="15" t="str">
        <x:v>Япония</x:v>
      </x:c>
      <x:c r="B75" s="20" t="d">
        <x:v>2022-09-01T00:00:00.000Z</x:v>
      </x:c>
      <x:c r="C75" s="19" t="n">
        <x:v>297079525.169</x:v>
      </x:c>
      <x:c r="D75" s="19" t="n">
        <x:v>1180318984.671</x:v>
      </x:c>
      <x:c r="E75" s="19" t="n">
        <x:v>20487837.861</x:v>
      </x:c>
      <x:c r="F75" s="19" t="n">
        <x:v>1302551148.677</x:v>
      </x:c>
      <x:c r="G75" s="19" t="n">
        <x:f>SUM(C75:F75)</x:f>
        <x:v>2800437496.3780003</x:v>
      </x:c>
    </x:row>
    <x:row r="76" ht="22" customHeight="1">
      <x:c r="A76" s="15" t="str">
        <x:v>Япония</x:v>
      </x:c>
      <x:c r="B76" s="20" t="d">
        <x:v>2022-10-01T00:00:00.000Z</x:v>
      </x:c>
      <x:c r="C76" s="19" t="n">
        <x:v>289947645.546</x:v>
      </x:c>
      <x:c r="D76" s="19" t="n">
        <x:v>1056885054.534</x:v>
      </x:c>
      <x:c r="E76" s="19" t="n">
        <x:v>18605824.217</x:v>
      </x:c>
      <x:c r="F76" s="19" t="n">
        <x:v>1297903364.166</x:v>
      </x:c>
      <x:c r="G76" s="19" t="n">
        <x:f>SUM(C76:F76)</x:f>
        <x:v>2663341888.463</x:v>
      </x:c>
    </x:row>
    <x:row r="77" ht="22" customHeight="1">
      <x:c r="A77" s="15" t="str">
        <x:v>Япония</x:v>
      </x:c>
      <x:c r="B77" s="20" t="d">
        <x:v>2022-11-01T00:00:00.000Z</x:v>
      </x:c>
      <x:c r="C77" s="19" t="n">
        <x:v>281416582.293</x:v>
      </x:c>
      <x:c r="D77" s="19" t="n">
        <x:v>951322621.589</x:v>
      </x:c>
      <x:c r="E77" s="19" t="n">
        <x:v>20214275.343000002</x:v>
      </x:c>
      <x:c r="F77" s="19" t="n">
        <x:v>1173750067.695</x:v>
      </x:c>
      <x:c r="G77" s="19" t="n">
        <x:f>SUM(C77:F77)</x:f>
        <x:v>2426703546.92</x:v>
      </x:c>
    </x:row>
    <x:row r="78" ht="22" customHeight="1">
      <x:c r="A78" s="15" t="str">
        <x:v>Япония</x:v>
      </x:c>
      <x:c r="B78" s="20" t="d">
        <x:v>2022-12-01T00:00:00.000Z</x:v>
      </x:c>
      <x:c r="C78" s="19" t="n">
        <x:v>309303508.365</x:v>
      </x:c>
      <x:c r="D78" s="19" t="n">
        <x:v>1024941283.059</x:v>
      </x:c>
      <x:c r="E78" s="19" t="n">
        <x:v>21062135.51</x:v>
      </x:c>
      <x:c r="F78" s="19" t="n">
        <x:v>1207135527.358</x:v>
      </x:c>
      <x:c r="G78" s="19" t="n">
        <x:f>SUM(C78:F78)</x:f>
        <x:v>2562442454.292</x:v>
      </x:c>
    </x:row>
    <x:row r="79" ht="22" customHeight="1">
      <x:c r="A79" s="15" t="str">
        <x:v>Япония</x:v>
      </x:c>
      <x:c r="B79" s="20" t="d">
        <x:v>2023-01-01T00:00:00.000Z</x:v>
      </x:c>
      <x:c r="C79" s="19" t="n">
        <x:v>237971086.75800002</x:v>
      </x:c>
      <x:c r="D79" s="19" t="n">
        <x:v>1024024734.4860001</x:v>
      </x:c>
      <x:c r="E79" s="19" t="n">
        <x:v>17595831.895999998</x:v>
      </x:c>
      <x:c r="F79" s="19" t="n">
        <x:v>988284577.8269999</x:v>
      </x:c>
      <x:c r="G79" s="19" t="n">
        <x:f>SUM(C79:F79)</x:f>
        <x:v>2267876230.967</x:v>
      </x:c>
    </x:row>
    <x:row r="80" ht="22" customHeight="1">
      <x:c r="A80" s="15" t="str">
        <x:v>Япония</x:v>
      </x:c>
      <x:c r="B80" s="20" t="d">
        <x:v>2023-02-01T00:00:00.000Z</x:v>
      </x:c>
      <x:c r="C80" s="19" t="n">
        <x:v>263216366.32999998</x:v>
      </x:c>
      <x:c r="D80" s="19" t="n">
        <x:v>1024781897.924</x:v>
      </x:c>
      <x:c r="E80" s="19" t="n">
        <x:v>18125212.289</x:v>
      </x:c>
      <x:c r="F80" s="19" t="n">
        <x:v>909278898.635</x:v>
      </x:c>
      <x:c r="G80" s="19" t="n">
        <x:f>SUM(C80:F80)</x:f>
        <x:v>2215402375.178</x:v>
      </x:c>
    </x:row>
    <x:row r="81" ht="22" customHeight="1">
      <x:c r="A81" s="15" t="str">
        <x:v>Япония</x:v>
      </x:c>
      <x:c r="B81" s="20" t="d">
        <x:v>2023-03-01T00:00:00.000Z</x:v>
      </x:c>
      <x:c r="C81" s="19" t="n">
        <x:v>297118371.279</x:v>
      </x:c>
      <x:c r="D81" s="19" t="n">
        <x:v>1044151675.255</x:v>
      </x:c>
      <x:c r="E81" s="19" t="n">
        <x:v>20719663.665</x:v>
      </x:c>
      <x:c r="F81" s="19" t="n">
        <x:v>1109348397.921</x:v>
      </x:c>
      <x:c r="G81" s="19" t="n">
        <x:f>SUM(C81:F81)</x:f>
        <x:v>2471338108.12</x:v>
      </x:c>
    </x:row>
    <x:row r="82" ht="22" customHeight="1">
      <x:c r="A82" s="15" t="str">
        <x:v>Япония</x:v>
      </x:c>
      <x:c r="B82" s="20" t="d">
        <x:v>2023-04-01T00:00:00.000Z</x:v>
      </x:c>
      <x:c r="C82" s="19" t="n">
        <x:v>273091056.003</x:v>
      </x:c>
      <x:c r="D82" s="19" t="n">
        <x:v>855730083.58</x:v>
      </x:c>
      <x:c r="E82" s="19" t="n">
        <x:v>21760406.445</x:v>
      </x:c>
      <x:c r="F82" s="19" t="n">
        <x:v>922942722.615</x:v>
      </x:c>
      <x:c r="G82" s="19" t="n">
        <x:f>SUM(C82:F82)</x:f>
        <x:v>2073524268.6430001</x:v>
      </x:c>
    </x:row>
    <x:row r="83" ht="22" customHeight="1">
      <x:c r="A83" s="15" t="str">
        <x:v>Япония</x:v>
      </x:c>
      <x:c r="B83" s="20" t="d">
        <x:v>2023-05-01T00:00:00.000Z</x:v>
      </x:c>
      <x:c r="C83" s="19" t="n">
        <x:v>230302519.222</x:v>
      </x:c>
      <x:c r="D83" s="19" t="n">
        <x:v>927157690.701</x:v>
      </x:c>
      <x:c r="E83" s="19" t="n">
        <x:v>17743733.855</x:v>
      </x:c>
      <x:c r="F83" s="19" t="n">
        <x:v>839456031.243</x:v>
      </x:c>
      <x:c r="G83" s="19" t="n">
        <x:f>SUM(C83:F83)</x:f>
        <x:v>2014659975.021</x:v>
      </x:c>
    </x:row>
    <x:row r="84" ht="22" customHeight="1">
      <x:c r="A84" s="15" t="str">
        <x:v>Япония</x:v>
      </x:c>
      <x:c r="B84" s="20" t="d">
        <x:v>2023-06-01T00:00:00.000Z</x:v>
      </x:c>
      <x:c r="C84" s="19" t="n">
        <x:v>281739104.509</x:v>
      </x:c>
      <x:c r="D84" s="19" t="n">
        <x:v>1004665110.188</x:v>
      </x:c>
      <x:c r="E84" s="19" t="n">
        <x:v>21518214.023000002</x:v>
      </x:c>
      <x:c r="F84" s="19" t="n">
        <x:v>1064224328.7310001</x:v>
      </x:c>
      <x:c r="G84" s="19" t="n">
        <x:f>SUM(C84:F84)</x:f>
        <x:v>2372146757.451</x:v>
      </x:c>
    </x:row>
    <x:row r="85" ht="22" customHeight="1">
      <x:c r="A85" s="15" t="str">
        <x:v>Япония</x:v>
      </x:c>
      <x:c r="B85" s="20" t="d">
        <x:v>2023-07-01T00:00:00.000Z</x:v>
      </x:c>
      <x:c r="C85" s="19" t="n">
        <x:v>271816148.918</x:v>
      </x:c>
      <x:c r="D85" s="19" t="n">
        <x:v>923320875.152</x:v>
      </x:c>
      <x:c r="E85" s="19" t="n">
        <x:v>23237933.39</x:v>
      </x:c>
      <x:c r="F85" s="19" t="n">
        <x:v>1006364023.266</x:v>
      </x:c>
      <x:c r="G85" s="19" t="n">
        <x:f>SUM(C85:F85)</x:f>
        <x:v>2224738980.726</x:v>
      </x:c>
    </x:row>
    <x:row r="86" ht="22" customHeight="1">
      <x:c r="A86" s="15" t="str">
        <x:v>Япония</x:v>
      </x:c>
      <x:c r="B86" s="20" t="d">
        <x:v>2023-08-01T00:00:00.000Z</x:v>
      </x:c>
      <x:c r="C86" s="19" t="n">
        <x:v>270762592.379</x:v>
      </x:c>
      <x:c r="D86" s="19" t="n">
        <x:v>923159359.4070001</x:v>
      </x:c>
      <x:c r="E86" s="19" t="n">
        <x:v>20906931.506</x:v>
      </x:c>
      <x:c r="F86" s="19" t="n">
        <x:v>1262133928.9850001</x:v>
      </x:c>
      <x:c r="G86" s="19" t="n">
        <x:f>SUM(C86:F86)</x:f>
        <x:v>2476962812.2770004</x:v>
      </x:c>
    </x:row>
    <x:row r="87" ht="22" customHeight="1">
      <x:c r="A87" s="15" t="str">
        <x:v>Япония</x:v>
      </x:c>
      <x:c r="B87" s="20" t="d">
        <x:v>2023-09-01T00:00:00.000Z</x:v>
      </x:c>
      <x:c r="C87" s="19" t="n">
        <x:v>297996187.91</x:v>
      </x:c>
      <x:c r="D87" s="19" t="n">
        <x:v>953846879.156</x:v>
      </x:c>
      <x:c r="E87" s="19" t="n">
        <x:v>22295711.005</x:v>
      </x:c>
      <x:c r="F87" s="19" t="n">
        <x:v>1176137323.605</x:v>
      </x:c>
      <x:c r="G87" s="19" t="n">
        <x:f>SUM(C87:F87)</x:f>
        <x:v>2450276101.676</x:v>
      </x:c>
    </x:row>
    <x:row r="88" ht="22" customHeight="1">
      <x:c r="A88" s="15" t="str">
        <x:v>Япония</x:v>
      </x:c>
      <x:c r="B88" s="20" t="d">
        <x:v>2023-10-01T00:00:00.000Z</x:v>
      </x:c>
      <x:c r="C88" s="19" t="n">
        <x:v>274316883.34000003</x:v>
      </x:c>
      <x:c r="D88" s="19" t="n">
        <x:v>970145698.982</x:v>
      </x:c>
      <x:c r="E88" s="19" t="n">
        <x:v>19371667.513</x:v>
      </x:c>
      <x:c r="F88" s="19" t="n">
        <x:v>1401824666.812</x:v>
      </x:c>
      <x:c r="G88" s="19" t="n">
        <x:f>SUM(C88:F88)</x:f>
        <x:v>2665658916.6470003</x:v>
      </x:c>
    </x:row>
    <x:row r="89" ht="22" customHeight="1">
      <x:c r="A89" s="15" t="str">
        <x:v>Япония</x:v>
      </x:c>
      <x:c r="B89" s="20" t="d">
        <x:v>2023-11-01T00:00:00.000Z</x:v>
      </x:c>
      <x:c r="C89" s="19" t="n">
        <x:v>264071561.22399998</x:v>
      </x:c>
      <x:c r="D89" s="19" t="n">
        <x:v>929672266.082</x:v>
      </x:c>
      <x:c r="E89" s="19" t="n">
        <x:v>17424677.811</x:v>
      </x:c>
      <x:c r="F89" s="19" t="n">
        <x:v>1419319648.785</x:v>
      </x:c>
      <x:c r="G89" s="19" t="n">
        <x:f>SUM(C89:F89)</x:f>
        <x:v>2630488153.9020004</x:v>
      </x:c>
    </x:row>
    <x:row r="90" ht="22" customHeight="1">
      <x:c r="A90" s="15" t="str">
        <x:v>Япония</x:v>
      </x:c>
      <x:c r="B90" s="20" t="d">
        <x:v>2023-12-01T00:00:00.000Z</x:v>
      </x:c>
      <x:c r="C90" s="19" t="n">
        <x:v>295455582.108</x:v>
      </x:c>
      <x:c r="D90" s="19" t="n">
        <x:v>916549470.865</x:v>
      </x:c>
      <x:c r="E90" s="19" t="n">
        <x:v>18328398.569</x:v>
      </x:c>
      <x:c r="F90" s="19" t="n">
        <x:v>1301799698.094</x:v>
      </x:c>
      <x:c r="G90" s="19" t="n">
        <x:f>SUM(C90:F90)</x:f>
        <x:v>2532133149.636</x:v>
      </x:c>
    </x:row>
    <x:row r="91" ht="22" customHeight="1">
      <x:c r="A91" s="15" t="str">
        <x:v>Япония</x:v>
      </x:c>
      <x:c r="B91" s="20" t="d">
        <x:v>2024-01-01T00:00:00.000Z</x:v>
      </x:c>
      <x:c r="C91" s="19" t="n">
        <x:v>227495612.622</x:v>
      </x:c>
      <x:c r="D91" s="19" t="n">
        <x:v>950704982.648</x:v>
      </x:c>
      <x:c r="E91" s="19" t="n">
        <x:v>19974617.406999998</x:v>
      </x:c>
      <x:c r="F91" s="19" t="n">
        <x:v>1047757786.2919999</x:v>
      </x:c>
      <x:c r="G91" s="19" t="n">
        <x:f>SUM(C91:F91)</x:f>
        <x:v>2245932998.969</x:v>
      </x:c>
    </x:row>
    <x:row r="92" ht="22" customHeight="1">
      <x:c r="A92" s="15" t="str">
        <x:v>Япония</x:v>
      </x:c>
      <x:c r="B92" s="20" t="d">
        <x:v>2024-02-01T00:00:00.000Z</x:v>
      </x:c>
      <x:c r="C92" s="19" t="n">
        <x:v>250930540.945</x:v>
      </x:c>
      <x:c r="D92" s="19" t="n">
        <x:v>896095817.207</x:v>
      </x:c>
      <x:c r="E92" s="19" t="n">
        <x:v>19103322.404</x:v>
      </x:c>
      <x:c r="F92" s="19" t="n">
        <x:v>1009427465.468</x:v>
      </x:c>
      <x:c r="G92" s="19" t="n">
        <x:f>SUM(C92:F92)</x:f>
        <x:v>2175557146.024</x:v>
      </x:c>
    </x:row>
    <x:row r="93" ht="22" customHeight="1">
      <x:c r="A93" s="15" t="str">
        <x:v>Япония</x:v>
      </x:c>
      <x:c r="B93" s="20" t="d">
        <x:v>2024-03-01T00:00:00.000Z</x:v>
      </x:c>
      <x:c r="C93" s="19" t="n">
        <x:v>300246474.111</x:v>
      </x:c>
      <x:c r="D93" s="19" t="n">
        <x:v>1065763142.582</x:v>
      </x:c>
      <x:c r="E93" s="19" t="n">
        <x:v>17466593.174</x:v>
      </x:c>
      <x:c r="F93" s="19" t="n">
        <x:v>1174338184.134</x:v>
      </x:c>
      <x:c r="G93" s="19" t="n">
        <x:f>SUM(C93:F93)</x:f>
        <x:v>2557814394.0010004</x:v>
      </x:c>
    </x:row>
    <x:row r="94" ht="22" customHeight="1">
      <x:c r="A94" s="15" t="str">
        <x:v>Япония</x:v>
      </x:c>
      <x:c r="B94" s="20" t="d">
        <x:v>2024-04-01T00:00:00.000Z</x:v>
      </x:c>
      <x:c r="C94" s="19" t="n">
        <x:v>260521240.208</x:v>
      </x:c>
      <x:c r="D94" s="19" t="n">
        <x:v>1004637169.6769999</x:v>
      </x:c>
      <x:c r="E94" s="19" t="n">
        <x:v>17322236.552</x:v>
      </x:c>
      <x:c r="F94" s="19" t="n">
        <x:v>1061569241.031</x:v>
      </x:c>
      <x:c r="G94" s="19" t="n">
        <x:f>SUM(C94:F94)</x:f>
        <x:v>2344049887.468</x:v>
      </x:c>
    </x:row>
    <x:row r="95" ht="22" customHeight="1">
      <x:c r="A95" s="15" t="str">
        <x:v>Япония</x:v>
      </x:c>
      <x:c r="B95" s="20" t="d">
        <x:v>2024-05-01T00:00:00.000Z</x:v>
      </x:c>
      <x:c r="C95" s="19" t="n">
        <x:v>252283654.108</x:v>
      </x:c>
      <x:c r="D95" s="19" t="n">
        <x:v>1125916175.256</x:v>
      </x:c>
      <x:c r="E95" s="19" t="n">
        <x:v>15771300.938</x:v>
      </x:c>
      <x:c r="F95" s="19" t="n">
        <x:v>945538538.9840001</x:v>
      </x:c>
      <x:c r="G95" s="19" t="n">
        <x:f>SUM(C95:F95)</x:f>
        <x:v>2339509669.2860003</x:v>
      </x:c>
    </x:row>
    <x:row r="96" ht="22" customHeight="1">
      <x:c r="A96" s="15" t="str">
        <x:v>Япония</x:v>
      </x:c>
      <x:c r="B96" s="20" t="d">
        <x:v>2024-06-01T00:00:00.000Z</x:v>
      </x:c>
      <x:c r="C96" s="19" t="n">
        <x:v>271033119.3</x:v>
      </x:c>
      <x:c r="D96" s="19" t="n">
        <x:v>1040701087.0489999</x:v>
      </x:c>
      <x:c r="E96" s="19" t="n">
        <x:v>19336861.716000002</x:v>
      </x:c>
      <x:c r="F96" s="19" t="n">
        <x:v>968623000.326</x:v>
      </x:c>
      <x:c r="G96" s="19" t="n">
        <x:f>SUM(C96:F96)</x:f>
        <x:v>2299694068.391</x:v>
      </x:c>
    </x:row>
    <x:row r="97" ht="22" customHeight="1">
      <x:c r="A97" s="15" t="str">
        <x:v>Япония</x:v>
      </x:c>
      <x:c r="B97" s="20" t="d">
        <x:v>2024-07-01T00:00:00.000Z</x:v>
      </x:c>
      <x:c r="C97" s="19" t="n">
        <x:v>257882314.317</x:v>
      </x:c>
      <x:c r="D97" s="19" t="n">
        <x:v>1145161627.264</x:v>
      </x:c>
      <x:c r="E97" s="19" t="n">
        <x:v>16084997.717</x:v>
      </x:c>
      <x:c r="F97" s="19" t="n">
        <x:v>1235364885.079</x:v>
      </x:c>
      <x:c r="G97" s="19" t="n">
        <x:f>SUM(C97:F97)</x:f>
        <x:v>2654493824.377</x:v>
      </x:c>
    </x:row>
    <x:row r="98" ht="22" customHeight="1">
      <x:c r="A98" s="15" t="str">
        <x:v>Япония</x:v>
      </x:c>
      <x:c r="B98" s="20" t="d">
        <x:v>2024-08-01T00:00:00.000Z</x:v>
      </x:c>
      <x:c r="C98" s="19" t="n">
        <x:v>233536714.468</x:v>
      </x:c>
      <x:c r="D98" s="19" t="n">
        <x:v>1215562670.9650002</x:v>
      </x:c>
      <x:c r="E98" s="19" t="n">
        <x:v>17534567.108</x:v>
      </x:c>
      <x:c r="F98" s="19" t="n">
        <x:v>1458629365.996</x:v>
      </x:c>
      <x:c r="G98" s="19" t="n">
        <x:f>SUM(C98:F98)</x:f>
        <x:v>2925263318.537</x:v>
      </x:c>
    </x:row>
    <x:row r="99" ht="22" customHeight="1">
      <x:c r="A99" s="15" t="str">
        <x:v>Япония</x:v>
      </x:c>
      <x:c r="B99" s="20" t="d">
        <x:v>2024-09-01T00:00:00.000Z</x:v>
      </x:c>
      <x:c r="C99" s="19" t="n">
        <x:v>274015423.929</x:v>
      </x:c>
      <x:c r="D99" s="19" t="n">
        <x:v>1222854028.1560001</x:v>
      </x:c>
      <x:c r="E99" s="19" t="n">
        <x:v>15230785.161</x:v>
      </x:c>
      <x:c r="F99" s="19" t="n">
        <x:v>1504398390.694</x:v>
      </x:c>
      <x:c r="G99" s="19" t="n">
        <x:f>SUM(C99:F99)</x:f>
        <x:v>3016498627.94</x:v>
      </x:c>
    </x:row>
    <x:row r="100" ht="22" customHeight="1">
      <x:c r="A100" s="15" t="str">
        <x:v>Япония</x:v>
      </x:c>
      <x:c r="B100" s="20" t="d">
        <x:v>2024-10-01T00:00:00.000Z</x:v>
      </x:c>
      <x:c r="C100" s="19" t="n">
        <x:v>228956078.767</x:v>
      </x:c>
      <x:c r="D100" s="19" t="n">
        <x:v>1094313851.188</x:v>
      </x:c>
      <x:c r="E100" s="19" t="n">
        <x:v>18029404.986</x:v>
      </x:c>
      <x:c r="F100" s="19" t="n">
        <x:v>1393513342.6</x:v>
      </x:c>
      <x:c r="G100" s="19" t="n">
        <x:f>SUM(C100:F100)</x:f>
        <x:v>2734812677.541</x:v>
      </x:c>
    </x:row>
    <x:row r="101" ht="22" customHeight="1">
      <x:c r="A101" s="15" t="str">
        <x:v>Япония</x:v>
      </x:c>
      <x:c r="B101" s="20" t="d">
        <x:v>2024-11-01T00:00:00.000Z</x:v>
      </x:c>
      <x:c r="C101" s="19" t="n">
        <x:v>241260001.704</x:v>
      </x:c>
      <x:c r="D101" s="19" t="n">
        <x:v>1020309337.2</x:v>
      </x:c>
      <x:c r="E101" s="19" t="n">
        <x:v>14918654.952</x:v>
      </x:c>
      <x:c r="F101" s="19" t="n">
        <x:v>1194818809.14</x:v>
      </x:c>
      <x:c r="G101" s="19" t="n">
        <x:f>SUM(C101:F101)</x:f>
        <x:v>2471306802.9960003</x:v>
      </x:c>
    </x:row>
    <x:row r="102" ht="22" customHeight="1">
      <x:c r="A102" s="15" t="str">
        <x:v>Япония</x:v>
      </x:c>
      <x:c r="B102" s="20" t="d">
        <x:v>2024-12-01T00:00:00.000Z</x:v>
      </x:c>
      <x:c r="C102" s="19" t="n">
        <x:v>236953958.54</x:v>
      </x:c>
      <x:c r="D102" s="19" t="n">
        <x:v>1117495121.113</x:v>
      </x:c>
      <x:c r="E102" s="19" t="n">
        <x:v>18548822.226</x:v>
      </x:c>
      <x:c r="F102" s="19" t="n">
        <x:v>1240017098.907</x:v>
      </x:c>
      <x:c r="G102" s="19" t="n">
        <x:f>SUM(C102:F102)</x:f>
        <x:v>2613015000.7860003</x:v>
      </x:c>
    </x:row>
    <x:row r="103" ht="22" customHeight="1">
      <x:c r="A103" s="15" t="str">
        <x:v>Республика Корея</x:v>
      </x:c>
      <x:c r="B103" s="20" t="d">
        <x:v>2017-01-01T00:00:00.000Z</x:v>
      </x:c>
      <x:c r="C103" s="19" t="n">
        <x:v>1526162549</x:v>
      </x:c>
      <x:c r="D103" s="19" t="n">
        <x:v>3687690588</x:v>
      </x:c>
      <x:c r="E103" s="19" t="n">
        <x:v>3630510</x:v>
      </x:c>
      <x:c r="F103" s="19" t="n">
        <x:v>308363519</x:v>
      </x:c>
      <x:c r="G103" s="19" t="n">
        <x:f>SUM(C103:F103)</x:f>
        <x:v>5525847166</x:v>
      </x:c>
    </x:row>
    <x:row r="104" ht="22" customHeight="1">
      <x:c r="A104" s="15" t="str">
        <x:v>Республика Корея</x:v>
      </x:c>
      <x:c r="B104" s="20" t="d">
        <x:v>2017-02-01T00:00:00.000Z</x:v>
      </x:c>
      <x:c r="C104" s="19" t="n">
        <x:v>1488729542</x:v>
      </x:c>
      <x:c r="D104" s="19" t="n">
        <x:v>3828263936</x:v>
      </x:c>
      <x:c r="E104" s="19" t="n">
        <x:v>3146391</x:v>
      </x:c>
      <x:c r="F104" s="19" t="n">
        <x:v>294259892</x:v>
      </x:c>
      <x:c r="G104" s="19" t="n">
        <x:f>SUM(C104:F104)</x:f>
        <x:v>5614399761</x:v>
      </x:c>
    </x:row>
    <x:row r="105" ht="22" customHeight="1">
      <x:c r="A105" s="15" t="str">
        <x:v>Республика Корея</x:v>
      </x:c>
      <x:c r="B105" s="20" t="d">
        <x:v>2017-03-01T00:00:00.000Z</x:v>
      </x:c>
      <x:c r="C105" s="19" t="n">
        <x:v>1767413754</x:v>
      </x:c>
      <x:c r="D105" s="19" t="n">
        <x:v>4502932316</x:v>
      </x:c>
      <x:c r="E105" s="19" t="n">
        <x:v>3862883</x:v>
      </x:c>
      <x:c r="F105" s="19" t="n">
        <x:v>319083568</x:v>
      </x:c>
      <x:c r="G105" s="19" t="n">
        <x:f>SUM(C105:F105)</x:f>
        <x:v>6593292521</x:v>
      </x:c>
    </x:row>
    <x:row r="106" ht="22" customHeight="1">
      <x:c r="A106" s="15" t="str">
        <x:v>Республика Корея</x:v>
      </x:c>
      <x:c r="B106" s="20" t="d">
        <x:v>2017-04-01T00:00:00.000Z</x:v>
      </x:c>
      <x:c r="C106" s="19" t="n">
        <x:v>1638408838</x:v>
      </x:c>
      <x:c r="D106" s="19" t="n">
        <x:v>4267231193</x:v>
      </x:c>
      <x:c r="E106" s="19" t="n">
        <x:v>3603141</x:v>
      </x:c>
      <x:c r="F106" s="19" t="n">
        <x:v>302568773</x:v>
      </x:c>
      <x:c r="G106" s="19" t="n">
        <x:f>SUM(C106:F106)</x:f>
        <x:v>6211811945</x:v>
      </x:c>
    </x:row>
    <x:row r="107" ht="22" customHeight="1">
      <x:c r="A107" s="15" t="str">
        <x:v>Республика Корея</x:v>
      </x:c>
      <x:c r="B107" s="20" t="d">
        <x:v>2017-05-01T00:00:00.000Z</x:v>
      </x:c>
      <x:c r="C107" s="19" t="n">
        <x:v>1858972773</x:v>
      </x:c>
      <x:c r="D107" s="19" t="n">
        <x:v>4383061887</x:v>
      </x:c>
      <x:c r="E107" s="19" t="n">
        <x:v>3980432</x:v>
      </x:c>
      <x:c r="F107" s="19" t="n">
        <x:v>296269244</x:v>
      </x:c>
      <x:c r="G107" s="19" t="n">
        <x:f>SUM(C107:F107)</x:f>
        <x:v>6542284336</x:v>
      </x:c>
    </x:row>
    <x:row r="108" ht="22" customHeight="1">
      <x:c r="A108" s="15" t="str">
        <x:v>Республика Корея</x:v>
      </x:c>
      <x:c r="B108" s="20" t="d">
        <x:v>2017-06-01T00:00:00.000Z</x:v>
      </x:c>
      <x:c r="C108" s="19" t="n">
        <x:v>1725999891</x:v>
      </x:c>
      <x:c r="D108" s="19" t="n">
        <x:v>4956572051</x:v>
      </x:c>
      <x:c r="E108" s="19" t="n">
        <x:v>4595180</x:v>
      </x:c>
      <x:c r="F108" s="19" t="n">
        <x:v>303110828</x:v>
      </x:c>
      <x:c r="G108" s="19" t="n">
        <x:f>SUM(C108:F108)</x:f>
        <x:v>6990277950</x:v>
      </x:c>
    </x:row>
    <x:row r="109" ht="22" customHeight="1">
      <x:c r="A109" s="15" t="str">
        <x:v>Республика Корея</x:v>
      </x:c>
      <x:c r="B109" s="20" t="d">
        <x:v>2017-07-01T00:00:00.000Z</x:v>
      </x:c>
      <x:c r="C109" s="19" t="n">
        <x:v>1926033654</x:v>
      </x:c>
      <x:c r="D109" s="19" t="n">
        <x:v>4613695938</x:v>
      </x:c>
      <x:c r="E109" s="19" t="n">
        <x:v>4345312</x:v>
      </x:c>
      <x:c r="F109" s="19" t="n">
        <x:v>330393382</x:v>
      </x:c>
      <x:c r="G109" s="19" t="n">
        <x:f>SUM(C109:F109)</x:f>
        <x:v>6874468286</x:v>
      </x:c>
    </x:row>
    <x:row r="110" ht="22" customHeight="1">
      <x:c r="A110" s="15" t="str">
        <x:v>Республика Корея</x:v>
      </x:c>
      <x:c r="B110" s="20" t="d">
        <x:v>2017-08-01T00:00:00.000Z</x:v>
      </x:c>
      <x:c r="C110" s="19" t="n">
        <x:v>1889911964</x:v>
      </x:c>
      <x:c r="D110" s="19" t="n">
        <x:v>5321652759</x:v>
      </x:c>
      <x:c r="E110" s="19" t="n">
        <x:v>3545913</x:v>
      </x:c>
      <x:c r="F110" s="19" t="n">
        <x:v>353664770</x:v>
      </x:c>
      <x:c r="G110" s="19" t="n">
        <x:f>SUM(C110:F110)</x:f>
        <x:v>7568775406</x:v>
      </x:c>
    </x:row>
    <x:row r="111" ht="22" customHeight="1">
      <x:c r="A111" s="15" t="str">
        <x:v>Республика Корея</x:v>
      </x:c>
      <x:c r="B111" s="20" t="d">
        <x:v>2017-09-01T00:00:00.000Z</x:v>
      </x:c>
      <x:c r="C111" s="19" t="n">
        <x:v>2083255313</x:v>
      </x:c>
      <x:c r="D111" s="19" t="n">
        <x:v>5889957873</x:v>
      </x:c>
      <x:c r="E111" s="19" t="n">
        <x:v>4748484</x:v>
      </x:c>
      <x:c r="F111" s="19" t="n">
        <x:v>431188862</x:v>
      </x:c>
      <x:c r="G111" s="19" t="n">
        <x:f>SUM(C111:F111)</x:f>
        <x:v>8409150532</x:v>
      </x:c>
    </x:row>
    <x:row r="112" ht="22" customHeight="1">
      <x:c r="A112" s="15" t="str">
        <x:v>Республика Корея</x:v>
      </x:c>
      <x:c r="B112" s="20" t="d">
        <x:v>2017-10-01T00:00:00.000Z</x:v>
      </x:c>
      <x:c r="C112" s="19" t="n">
        <x:v>1772414593</x:v>
      </x:c>
      <x:c r="D112" s="19" t="n">
        <x:v>6306582436</x:v>
      </x:c>
      <x:c r="E112" s="19" t="n">
        <x:v>5101095</x:v>
      </x:c>
      <x:c r="F112" s="19" t="n">
        <x:v>344336746</x:v>
      </x:c>
      <x:c r="G112" s="19" t="n">
        <x:f>SUM(C112:F112)</x:f>
        <x:v>8428434870</x:v>
      </x:c>
    </x:row>
    <x:row r="113" ht="22" customHeight="1">
      <x:c r="A113" s="15" t="str">
        <x:v>Республика Корея</x:v>
      </x:c>
      <x:c r="B113" s="20" t="d">
        <x:v>2017-11-01T00:00:00.000Z</x:v>
      </x:c>
      <x:c r="C113" s="19" t="n">
        <x:v>1898370567</x:v>
      </x:c>
      <x:c r="D113" s="19" t="n">
        <x:v>6257527821</x:v>
      </x:c>
      <x:c r="E113" s="19" t="n">
        <x:v>3532880</x:v>
      </x:c>
      <x:c r="F113" s="19" t="n">
        <x:v>344162158</x:v>
      </x:c>
      <x:c r="G113" s="19" t="n">
        <x:f>SUM(C113:F113)</x:f>
        <x:v>8503593426</x:v>
      </x:c>
    </x:row>
    <x:row r="114" ht="22" customHeight="1">
      <x:c r="A114" s="15" t="str">
        <x:v>Республика Корея</x:v>
      </x:c>
      <x:c r="B114" s="20" t="d">
        <x:v>2017-12-01T00:00:00.000Z</x:v>
      </x:c>
      <x:c r="C114" s="19" t="n">
        <x:v>1784172134</x:v>
      </x:c>
      <x:c r="D114" s="19" t="n">
        <x:v>6491739085</x:v>
      </x:c>
      <x:c r="E114" s="19" t="n">
        <x:v>2944173</x:v>
      </x:c>
      <x:c r="F114" s="19" t="n">
        <x:v>298762746</x:v>
      </x:c>
      <x:c r="G114" s="19" t="n">
        <x:f>SUM(C114:F114)</x:f>
        <x:v>8577618138</x:v>
      </x:c>
    </x:row>
    <x:row r="115" ht="22" customHeight="1">
      <x:c r="A115" s="15" t="str">
        <x:v>Республика Корея</x:v>
      </x:c>
      <x:c r="B115" s="20" t="d">
        <x:v>2018-01-01T00:00:00.000Z</x:v>
      </x:c>
      <x:c r="C115" s="19" t="n">
        <x:v>1955610292</x:v>
      </x:c>
      <x:c r="D115" s="19" t="n">
        <x:v>6220288563</x:v>
      </x:c>
      <x:c r="E115" s="19" t="n">
        <x:v>4598368</x:v>
      </x:c>
      <x:c r="F115" s="19" t="n">
        <x:v>342713067</x:v>
      </x:c>
      <x:c r="G115" s="19" t="n">
        <x:f>SUM(C115:F115)</x:f>
        <x:v>8523210290</x:v>
      </x:c>
    </x:row>
    <x:row r="116" ht="22" customHeight="1">
      <x:c r="A116" s="15" t="str">
        <x:v>Республика Корея</x:v>
      </x:c>
      <x:c r="B116" s="20" t="d">
        <x:v>2018-02-01T00:00:00.000Z</x:v>
      </x:c>
      <x:c r="C116" s="19" t="n">
        <x:v>1673160082</x:v>
      </x:c>
      <x:c r="D116" s="19" t="n">
        <x:v>5967565938</x:v>
      </x:c>
      <x:c r="E116" s="19" t="n">
        <x:v>3001942</x:v>
      </x:c>
      <x:c r="F116" s="19" t="n">
        <x:v>309984590</x:v>
      </x:c>
      <x:c r="G116" s="19" t="n">
        <x:f>SUM(C116:F116)</x:f>
        <x:v>7953712552</x:v>
      </x:c>
    </x:row>
    <x:row r="117" ht="22" customHeight="1">
      <x:c r="A117" s="15" t="str">
        <x:v>Республика Корея</x:v>
      </x:c>
      <x:c r="B117" s="20" t="d">
        <x:v>2018-03-01T00:00:00.000Z</x:v>
      </x:c>
      <x:c r="C117" s="19" t="n">
        <x:v>1869905715</x:v>
      </x:c>
      <x:c r="D117" s="19" t="n">
        <x:v>7416596813</x:v>
      </x:c>
      <x:c r="E117" s="19" t="n">
        <x:v>4713897</x:v>
      </x:c>
      <x:c r="F117" s="19" t="n">
        <x:v>341082495</x:v>
      </x:c>
      <x:c r="G117" s="19" t="n">
        <x:f>SUM(C117:F117)</x:f>
        <x:v>9632298920</x:v>
      </x:c>
    </x:row>
    <x:row r="118" ht="22" customHeight="1">
      <x:c r="A118" s="15" t="str">
        <x:v>Республика Корея</x:v>
      </x:c>
      <x:c r="B118" s="20" t="d">
        <x:v>2018-04-01T00:00:00.000Z</x:v>
      </x:c>
      <x:c r="C118" s="19" t="n">
        <x:v>1910398755</x:v>
      </x:c>
      <x:c r="D118" s="19" t="n">
        <x:v>6276033892</x:v>
      </x:c>
      <x:c r="E118" s="19" t="n">
        <x:v>4850710</x:v>
      </x:c>
      <x:c r="F118" s="19" t="n">
        <x:v>355001948</x:v>
      </x:c>
      <x:c r="G118" s="19" t="n">
        <x:f>SUM(C118:F118)</x:f>
        <x:v>8546285305</x:v>
      </x:c>
    </x:row>
    <x:row r="119" ht="22" customHeight="1">
      <x:c r="A119" s="15" t="str">
        <x:v>Республика Корея</x:v>
      </x:c>
      <x:c r="B119" s="20" t="d">
        <x:v>2018-05-01T00:00:00.000Z</x:v>
      </x:c>
      <x:c r="C119" s="19" t="n">
        <x:v>1790614656</x:v>
      </x:c>
      <x:c r="D119" s="19" t="n">
        <x:v>7291705540</x:v>
      </x:c>
      <x:c r="E119" s="19" t="n">
        <x:v>6384858</x:v>
      </x:c>
      <x:c r="F119" s="19" t="n">
        <x:v>318744095</x:v>
      </x:c>
      <x:c r="G119" s="19" t="n">
        <x:f>SUM(C119:F119)</x:f>
        <x:v>9407449149</x:v>
      </x:c>
    </x:row>
    <x:row r="120" ht="22" customHeight="1">
      <x:c r="A120" s="15" t="str">
        <x:v>Республика Корея</x:v>
      </x:c>
      <x:c r="B120" s="20" t="d">
        <x:v>2018-06-01T00:00:00.000Z</x:v>
      </x:c>
      <x:c r="C120" s="19" t="n">
        <x:v>1758392435</x:v>
      </x:c>
      <x:c r="D120" s="19" t="n">
        <x:v>7516683931</x:v>
      </x:c>
      <x:c r="E120" s="19" t="n">
        <x:v>4496542</x:v>
      </x:c>
      <x:c r="F120" s="19" t="n">
        <x:v>340674776</x:v>
      </x:c>
      <x:c r="G120" s="19" t="n">
        <x:f>SUM(C120:F120)</x:f>
        <x:v>9620247684</x:v>
      </x:c>
    </x:row>
    <x:row r="121" ht="22" customHeight="1">
      <x:c r="A121" s="15" t="str">
        <x:v>Республика Корея</x:v>
      </x:c>
      <x:c r="B121" s="20" t="d">
        <x:v>2018-07-01T00:00:00.000Z</x:v>
      </x:c>
      <x:c r="C121" s="19" t="n">
        <x:v>1905927653</x:v>
      </x:c>
      <x:c r="D121" s="19" t="n">
        <x:v>6720334021</x:v>
      </x:c>
      <x:c r="E121" s="19" t="n">
        <x:v>3433437</x:v>
      </x:c>
      <x:c r="F121" s="19" t="n">
        <x:v>396107323</x:v>
      </x:c>
      <x:c r="G121" s="19" t="n">
        <x:f>SUM(C121:F121)</x:f>
        <x:v>9025802434</x:v>
      </x:c>
    </x:row>
    <x:row r="122" ht="22" customHeight="1">
      <x:c r="A122" s="15" t="str">
        <x:v>Республика Корея</x:v>
      </x:c>
      <x:c r="B122" s="20" t="d">
        <x:v>2018-08-01T00:00:00.000Z</x:v>
      </x:c>
      <x:c r="C122" s="19" t="n">
        <x:v>1957670520</x:v>
      </x:c>
      <x:c r="D122" s="19" t="n">
        <x:v>7704600058</x:v>
      </x:c>
      <x:c r="E122" s="19" t="n">
        <x:v>4492401</x:v>
      </x:c>
      <x:c r="F122" s="19" t="n">
        <x:v>405452307</x:v>
      </x:c>
      <x:c r="G122" s="19" t="n">
        <x:f>SUM(C122:F122)</x:f>
        <x:v>10072215286</x:v>
      </x:c>
    </x:row>
    <x:row r="123" ht="22" customHeight="1">
      <x:c r="A123" s="15" t="str">
        <x:v>Республика Корея</x:v>
      </x:c>
      <x:c r="B123" s="20" t="d">
        <x:v>2018-09-01T00:00:00.000Z</x:v>
      </x:c>
      <x:c r="C123" s="19" t="n">
        <x:v>1877621533</x:v>
      </x:c>
      <x:c r="D123" s="19" t="n">
        <x:v>8677952419</x:v>
      </x:c>
      <x:c r="E123" s="19" t="n">
        <x:v>2861269</x:v>
      </x:c>
      <x:c r="F123" s="19" t="n">
        <x:v>402796233</x:v>
      </x:c>
      <x:c r="G123" s="19" t="n">
        <x:f>SUM(C123:F123)</x:f>
        <x:v>10961231454</x:v>
      </x:c>
    </x:row>
    <x:row r="124" ht="22" customHeight="1">
      <x:c r="A124" s="15" t="str">
        <x:v>Республика Корея</x:v>
      </x:c>
      <x:c r="B124" s="20" t="d">
        <x:v>2018-10-01T00:00:00.000Z</x:v>
      </x:c>
      <x:c r="C124" s="19" t="n">
        <x:v>1933263958</x:v>
      </x:c>
      <x:c r="D124" s="19" t="n">
        <x:v>7711390847</x:v>
      </x:c>
      <x:c r="E124" s="19" t="n">
        <x:v>4238113</x:v>
      </x:c>
      <x:c r="F124" s="19" t="n">
        <x:v>357900237</x:v>
      </x:c>
      <x:c r="G124" s="19" t="n">
        <x:f>SUM(C124:F124)</x:f>
        <x:v>10006793155</x:v>
      </x:c>
    </x:row>
    <x:row r="125" ht="22" customHeight="1">
      <x:c r="A125" s="15" t="str">
        <x:v>Республика Корея</x:v>
      </x:c>
      <x:c r="B125" s="20" t="d">
        <x:v>2018-11-01T00:00:00.000Z</x:v>
      </x:c>
      <x:c r="C125" s="19" t="n">
        <x:v>1835384591</x:v>
      </x:c>
      <x:c r="D125" s="19" t="n">
        <x:v>6600994294</x:v>
      </x:c>
      <x:c r="E125" s="19" t="n">
        <x:v>3839966</x:v>
      </x:c>
      <x:c r="F125" s="19" t="n">
        <x:v>326631242</x:v>
      </x:c>
      <x:c r="G125" s="19" t="n">
        <x:f>SUM(C125:F125)</x:f>
        <x:v>8766850093</x:v>
      </x:c>
    </x:row>
    <x:row r="126" ht="22" customHeight="1">
      <x:c r="A126" s="15" t="str">
        <x:v>Республика Корея</x:v>
      </x:c>
      <x:c r="B126" s="20" t="d">
        <x:v>2018-12-01T00:00:00.000Z</x:v>
      </x:c>
      <x:c r="C126" s="19" t="n">
        <x:v>1627070277</x:v>
      </x:c>
      <x:c r="D126" s="19" t="n">
        <x:v>4944099660</x:v>
      </x:c>
      <x:c r="E126" s="19" t="n">
        <x:v>3822833</x:v>
      </x:c>
      <x:c r="F126" s="19" t="n">
        <x:v>397317265</x:v>
      </x:c>
      <x:c r="G126" s="19" t="n">
        <x:f>SUM(C126:F126)</x:f>
        <x:v>6972310035</x:v>
      </x:c>
    </x:row>
    <x:row r="127" ht="22" customHeight="1">
      <x:c r="A127" s="15" t="str">
        <x:v>Республика Корея</x:v>
      </x:c>
      <x:c r="B127" s="20" t="d">
        <x:v>2019-01-01T00:00:00.000Z</x:v>
      </x:c>
      <x:c r="C127" s="19" t="n">
        <x:v>1865224374</x:v>
      </x:c>
      <x:c r="D127" s="19" t="n">
        <x:v>3999219559</x:v>
      </x:c>
      <x:c r="E127" s="19" t="n">
        <x:v>6318916</x:v>
      </x:c>
      <x:c r="F127" s="19" t="n">
        <x:v>285685642</x:v>
      </x:c>
      <x:c r="G127" s="19" t="n">
        <x:f>SUM(C127:F127)</x:f>
        <x:v>6156448491</x:v>
      </x:c>
    </x:row>
    <x:row r="128" ht="22" customHeight="1">
      <x:c r="A128" s="15" t="str">
        <x:v>Республика Корея</x:v>
      </x:c>
      <x:c r="B128" s="20" t="d">
        <x:v>2019-02-01T00:00:00.000Z</x:v>
      </x:c>
      <x:c r="C128" s="19" t="n">
        <x:v>1583410671</x:v>
      </x:c>
      <x:c r="D128" s="19" t="n">
        <x:v>3811011373</x:v>
      </x:c>
      <x:c r="E128" s="19" t="n">
        <x:v>3587932</x:v>
      </x:c>
      <x:c r="F128" s="19" t="n">
        <x:v>279428233</x:v>
      </x:c>
      <x:c r="G128" s="19" t="n">
        <x:f>SUM(C128:F128)</x:f>
        <x:v>5677438209</x:v>
      </x:c>
    </x:row>
    <x:row r="129" ht="22" customHeight="1">
      <x:c r="A129" s="15" t="str">
        <x:v>Республика Корея</x:v>
      </x:c>
      <x:c r="B129" s="20" t="d">
        <x:v>2019-03-01T00:00:00.000Z</x:v>
      </x:c>
      <x:c r="C129" s="19" t="n">
        <x:v>1630092618</x:v>
      </x:c>
      <x:c r="D129" s="19" t="n">
        <x:v>5464475965</x:v>
      </x:c>
      <x:c r="E129" s="19" t="n">
        <x:v>8024578</x:v>
      </x:c>
      <x:c r="F129" s="19" t="n">
        <x:v>359691579</x:v>
      </x:c>
      <x:c r="G129" s="19" t="n">
        <x:f>SUM(C129:F129)</x:f>
        <x:v>7462284740</x:v>
      </x:c>
    </x:row>
    <x:row r="130" ht="22" customHeight="1">
      <x:c r="A130" s="15" t="str">
        <x:v>Республика Корея</x:v>
      </x:c>
      <x:c r="B130" s="20" t="d">
        <x:v>2019-04-01T00:00:00.000Z</x:v>
      </x:c>
      <x:c r="C130" s="19" t="n">
        <x:v>1606960885</x:v>
      </x:c>
      <x:c r="D130" s="19" t="n">
        <x:v>4984560463</x:v>
      </x:c>
      <x:c r="E130" s="19" t="n">
        <x:v>3919767</x:v>
      </x:c>
      <x:c r="F130" s="19" t="n">
        <x:v>508544790</x:v>
      </x:c>
      <x:c r="G130" s="19" t="n">
        <x:f>SUM(C130:F130)</x:f>
        <x:v>7103985905</x:v>
      </x:c>
    </x:row>
    <x:row r="131" ht="22" customHeight="1">
      <x:c r="A131" s="15" t="str">
        <x:v>Республика Корея</x:v>
      </x:c>
      <x:c r="B131" s="20" t="d">
        <x:v>2019-05-01T00:00:00.000Z</x:v>
      </x:c>
      <x:c r="C131" s="19" t="n">
        <x:v>1475211302</x:v>
      </x:c>
      <x:c r="D131" s="19" t="n">
        <x:v>4380814806</x:v>
      </x:c>
      <x:c r="E131" s="19" t="n">
        <x:v>3425550</x:v>
      </x:c>
      <x:c r="F131" s="19" t="n">
        <x:v>357207081</x:v>
      </x:c>
      <x:c r="G131" s="19" t="n">
        <x:f>SUM(C131:F131)</x:f>
        <x:v>6216658739</x:v>
      </x:c>
    </x:row>
    <x:row r="132" ht="22" customHeight="1">
      <x:c r="A132" s="15" t="str">
        <x:v>Республика Корея</x:v>
      </x:c>
      <x:c r="B132" s="20" t="d">
        <x:v>2019-06-01T00:00:00.000Z</x:v>
      </x:c>
      <x:c r="C132" s="19" t="n">
        <x:v>1587177820</x:v>
      </x:c>
      <x:c r="D132" s="19" t="n">
        <x:v>5003658815</x:v>
      </x:c>
      <x:c r="E132" s="19" t="n">
        <x:v>3254589</x:v>
      </x:c>
      <x:c r="F132" s="19" t="n">
        <x:v>411058704</x:v>
      </x:c>
      <x:c r="G132" s="19" t="n">
        <x:f>SUM(C132:F132)</x:f>
        <x:v>7005149928</x:v>
      </x:c>
    </x:row>
    <x:row r="133" ht="22" customHeight="1">
      <x:c r="A133" s="15" t="str">
        <x:v>Республика Корея</x:v>
      </x:c>
      <x:c r="B133" s="20" t="d">
        <x:v>2019-07-01T00:00:00.000Z</x:v>
      </x:c>
      <x:c r="C133" s="19" t="n">
        <x:v>1833460760</x:v>
      </x:c>
      <x:c r="D133" s="19" t="n">
        <x:v>4107756283</x:v>
      </x:c>
      <x:c r="E133" s="19" t="n">
        <x:v>4280056</x:v>
      </x:c>
      <x:c r="F133" s="19" t="n">
        <x:v>429781047</x:v>
      </x:c>
      <x:c r="G133" s="19" t="n">
        <x:f>SUM(C133:F133)</x:f>
        <x:v>6375278146</x:v>
      </x:c>
    </x:row>
    <x:row r="134" ht="22" customHeight="1">
      <x:c r="A134" s="15" t="str">
        <x:v>Республика Корея</x:v>
      </x:c>
      <x:c r="B134" s="20" t="d">
        <x:v>2019-08-01T00:00:00.000Z</x:v>
      </x:c>
      <x:c r="C134" s="19" t="n">
        <x:v>1894657318</x:v>
      </x:c>
      <x:c r="D134" s="19" t="n">
        <x:v>4434514395</x:v>
      </x:c>
      <x:c r="E134" s="19" t="n">
        <x:v>6464543</x:v>
      </x:c>
      <x:c r="F134" s="19" t="n">
        <x:v>436194716</x:v>
      </x:c>
      <x:c r="G134" s="19" t="n">
        <x:f>SUM(C134:F134)</x:f>
        <x:v>6771830972</x:v>
      </x:c>
    </x:row>
    <x:row r="135" ht="22" customHeight="1">
      <x:c r="A135" s="15" t="str">
        <x:v>Республика Корея</x:v>
      </x:c>
      <x:c r="B135" s="20" t="d">
        <x:v>2019-09-01T00:00:00.000Z</x:v>
      </x:c>
      <x:c r="C135" s="19" t="n">
        <x:v>1960462422</x:v>
      </x:c>
      <x:c r="D135" s="19" t="n">
        <x:v>4732246780</x:v>
      </x:c>
      <x:c r="E135" s="19" t="n">
        <x:v>5803850</x:v>
      </x:c>
      <x:c r="F135" s="19" t="n">
        <x:v>467133559</x:v>
      </x:c>
      <x:c r="G135" s="19" t="n">
        <x:f>SUM(C135:F135)</x:f>
        <x:v>7165646611</x:v>
      </x:c>
    </x:row>
    <x:row r="136" ht="22" customHeight="1">
      <x:c r="A136" s="15" t="str">
        <x:v>Республика Корея</x:v>
      </x:c>
      <x:c r="B136" s="20" t="d">
        <x:v>2019-10-01T00:00:00.000Z</x:v>
      </x:c>
      <x:c r="C136" s="19" t="n">
        <x:v>1934046341</x:v>
      </x:c>
      <x:c r="D136" s="19" t="n">
        <x:v>4196110869</x:v>
      </x:c>
      <x:c r="E136" s="19" t="n">
        <x:v>14929717</x:v>
      </x:c>
      <x:c r="F136" s="19" t="n">
        <x:v>499632791</x:v>
      </x:c>
      <x:c r="G136" s="19" t="n">
        <x:f>SUM(C136:F136)</x:f>
        <x:v>6644719718</x:v>
      </x:c>
    </x:row>
    <x:row r="137" ht="22" customHeight="1">
      <x:c r="A137" s="15" t="str">
        <x:v>Республика Корея</x:v>
      </x:c>
      <x:c r="B137" s="20" t="d">
        <x:v>2019-11-01T00:00:00.000Z</x:v>
      </x:c>
      <x:c r="C137" s="19" t="n">
        <x:v>1692465219</x:v>
      </x:c>
      <x:c r="D137" s="19" t="n">
        <x:v>4048576955</x:v>
      </x:c>
      <x:c r="E137" s="19" t="n">
        <x:v>12961100</x:v>
      </x:c>
      <x:c r="F137" s="19" t="n">
        <x:v>431493300</x:v>
      </x:c>
      <x:c r="G137" s="19" t="n">
        <x:f>SUM(C137:F137)</x:f>
        <x:v>6185496574</x:v>
      </x:c>
    </x:row>
    <x:row r="138" ht="22" customHeight="1">
      <x:c r="A138" s="15" t="str">
        <x:v>Республика Корея</x:v>
      </x:c>
      <x:c r="B138" s="20" t="d">
        <x:v>2019-12-01T00:00:00.000Z</x:v>
      </x:c>
      <x:c r="C138" s="19" t="n">
        <x:v>1614461414</x:v>
      </x:c>
      <x:c r="D138" s="19" t="n">
        <x:v>3998808167</x:v>
      </x:c>
      <x:c r="E138" s="19" t="n">
        <x:v>8717115</x:v>
      </x:c>
      <x:c r="F138" s="19" t="n">
        <x:v>435414456</x:v>
      </x:c>
      <x:c r="G138" s="19" t="n">
        <x:f>SUM(C138:F138)</x:f>
        <x:v>6057401152</x:v>
      </x:c>
    </x:row>
    <x:row r="139" ht="22" customHeight="1">
      <x:c r="A139" s="15" t="str">
        <x:v>Республика Корея</x:v>
      </x:c>
      <x:c r="B139" s="20" t="d">
        <x:v>2020-01-01T00:00:00.000Z</x:v>
      </x:c>
      <x:c r="C139" s="19" t="n">
        <x:v>1952296206</x:v>
      </x:c>
      <x:c r="D139" s="19" t="n">
        <x:v>3586632780</x:v>
      </x:c>
      <x:c r="E139" s="19" t="n">
        <x:v>9161325</x:v>
      </x:c>
      <x:c r="F139" s="19" t="n">
        <x:v>545351932</x:v>
      </x:c>
      <x:c r="G139" s="19" t="n">
        <x:f>SUM(C139:F139)</x:f>
        <x:v>6093442243</x:v>
      </x:c>
    </x:row>
    <x:row r="140" ht="22" customHeight="1">
      <x:c r="A140" s="15" t="str">
        <x:v>Республика Корея</x:v>
      </x:c>
      <x:c r="B140" s="20" t="d">
        <x:v>2020-02-01T00:00:00.000Z</x:v>
      </x:c>
      <x:c r="C140" s="19" t="n">
        <x:v>1806281348</x:v>
      </x:c>
      <x:c r="D140" s="19" t="n">
        <x:v>3864270231</x:v>
      </x:c>
      <x:c r="E140" s="19" t="n">
        <x:v>7884574</x:v>
      </x:c>
      <x:c r="F140" s="19" t="n">
        <x:v>565521202</x:v>
      </x:c>
      <x:c r="G140" s="19" t="n">
        <x:f>SUM(C140:F140)</x:f>
        <x:v>6243957355</x:v>
      </x:c>
    </x:row>
    <x:row r="141" ht="22" customHeight="1">
      <x:c r="A141" s="15" t="str">
        <x:v>Республика Корея</x:v>
      </x:c>
      <x:c r="B141" s="20" t="d">
        <x:v>2020-03-01T00:00:00.000Z</x:v>
      </x:c>
      <x:c r="C141" s="19" t="n">
        <x:v>2128962531</x:v>
      </x:c>
      <x:c r="D141" s="19" t="n">
        <x:v>4547406951</x:v>
      </x:c>
      <x:c r="E141" s="19" t="n">
        <x:v>8778680</x:v>
      </x:c>
      <x:c r="F141" s="19" t="n">
        <x:v>513770759</x:v>
      </x:c>
      <x:c r="G141" s="19" t="n">
        <x:f>SUM(C141:F141)</x:f>
        <x:v>7198918921</x:v>
      </x:c>
    </x:row>
    <x:row r="142" ht="22" customHeight="1">
      <x:c r="A142" s="15" t="str">
        <x:v>Республика Корея</x:v>
      </x:c>
      <x:c r="B142" s="20" t="d">
        <x:v>2020-04-01T00:00:00.000Z</x:v>
      </x:c>
      <x:c r="C142" s="19" t="n">
        <x:v>1435158721</x:v>
      </x:c>
      <x:c r="D142" s="19" t="n">
        <x:v>3867027492</x:v>
      </x:c>
      <x:c r="E142" s="19" t="n">
        <x:v>3451834</x:v>
      </x:c>
      <x:c r="F142" s="19" t="n">
        <x:v>406000127</x:v>
      </x:c>
      <x:c r="G142" s="19" t="n">
        <x:f>SUM(C142:F142)</x:f>
        <x:v>5711638174</x:v>
      </x:c>
    </x:row>
    <x:row r="143" ht="22" customHeight="1">
      <x:c r="A143" s="15" t="str">
        <x:v>Республика Корея</x:v>
      </x:c>
      <x:c r="B143" s="20" t="d">
        <x:v>2020-05-01T00:00:00.000Z</x:v>
      </x:c>
      <x:c r="C143" s="19" t="n">
        <x:v>1565423050</x:v>
      </x:c>
      <x:c r="D143" s="19" t="n">
        <x:v>4676079156</x:v>
      </x:c>
      <x:c r="E143" s="19" t="n">
        <x:v>4166391</x:v>
      </x:c>
      <x:c r="F143" s="19" t="n">
        <x:v>367077262</x:v>
      </x:c>
      <x:c r="G143" s="19" t="n">
        <x:f>SUM(C143:F143)</x:f>
        <x:v>6612745859</x:v>
      </x:c>
    </x:row>
    <x:row r="144" ht="22" customHeight="1">
      <x:c r="A144" s="15" t="str">
        <x:v>Республика Корея</x:v>
      </x:c>
      <x:c r="B144" s="20" t="d">
        <x:v>2020-06-01T00:00:00.000Z</x:v>
      </x:c>
      <x:c r="C144" s="19" t="n">
        <x:v>1667382971</x:v>
      </x:c>
      <x:c r="D144" s="19" t="n">
        <x:v>4562631281</x:v>
      </x:c>
      <x:c r="E144" s="19" t="n">
        <x:v>7192757</x:v>
      </x:c>
      <x:c r="F144" s="19" t="n">
        <x:v>463679936</x:v>
      </x:c>
      <x:c r="G144" s="19" t="n">
        <x:f>SUM(C144:F144)</x:f>
        <x:v>6700886945</x:v>
      </x:c>
    </x:row>
    <x:row r="145" ht="22" customHeight="1">
      <x:c r="A145" s="15" t="str">
        <x:v>Республика Корея</x:v>
      </x:c>
      <x:c r="B145" s="20" t="d">
        <x:v>2020-07-01T00:00:00.000Z</x:v>
      </x:c>
      <x:c r="C145" s="19" t="n">
        <x:v>1934315241</x:v>
      </x:c>
      <x:c r="D145" s="19" t="n">
        <x:v>4159848584</x:v>
      </x:c>
      <x:c r="E145" s="19" t="n">
        <x:v>12131200</x:v>
      </x:c>
      <x:c r="F145" s="19" t="n">
        <x:v>508126040</x:v>
      </x:c>
      <x:c r="G145" s="19" t="n">
        <x:f>SUM(C145:F145)</x:f>
        <x:v>6614421065</x:v>
      </x:c>
    </x:row>
    <x:row r="146" ht="22" customHeight="1">
      <x:c r="A146" s="15" t="str">
        <x:v>Республика Корея</x:v>
      </x:c>
      <x:c r="B146" s="20" t="d">
        <x:v>2020-08-01T00:00:00.000Z</x:v>
      </x:c>
      <x:c r="C146" s="19" t="n">
        <x:v>2150919965</x:v>
      </x:c>
      <x:c r="D146" s="19" t="n">
        <x:v>4301428807</x:v>
      </x:c>
      <x:c r="E146" s="19" t="n">
        <x:v>11246068</x:v>
      </x:c>
      <x:c r="F146" s="19" t="n">
        <x:v>547809055</x:v>
      </x:c>
      <x:c r="G146" s="19" t="n">
        <x:f>SUM(C146:F146)</x:f>
        <x:v>7011403895</x:v>
      </x:c>
    </x:row>
    <x:row r="147" ht="22" customHeight="1">
      <x:c r="A147" s="15" t="str">
        <x:v>Республика Корея</x:v>
      </x:c>
      <x:c r="B147" s="20" t="d">
        <x:v>2020-09-01T00:00:00.000Z</x:v>
      </x:c>
      <x:c r="C147" s="19" t="n">
        <x:v>2163849850</x:v>
      </x:c>
      <x:c r="D147" s="19" t="n">
        <x:v>4976137260</x:v>
      </x:c>
      <x:c r="E147" s="19" t="n">
        <x:v>13546568</x:v>
      </x:c>
      <x:c r="F147" s="19" t="n">
        <x:v>668198523</x:v>
      </x:c>
      <x:c r="G147" s="19" t="n">
        <x:f>SUM(C147:F147)</x:f>
        <x:v>7821732201</x:v>
      </x:c>
    </x:row>
    <x:row r="148" ht="22" customHeight="1">
      <x:c r="A148" s="15" t="str">
        <x:v>Республика Корея</x:v>
      </x:c>
      <x:c r="B148" s="20" t="d">
        <x:v>2020-10-01T00:00:00.000Z</x:v>
      </x:c>
      <x:c r="C148" s="19" t="n">
        <x:v>2107677926</x:v>
      </x:c>
      <x:c r="D148" s="19" t="n">
        <x:v>4612887933</x:v>
      </x:c>
      <x:c r="E148" s="19" t="n">
        <x:v>7328335</x:v>
      </x:c>
      <x:c r="F148" s="19" t="n">
        <x:v>700152691</x:v>
      </x:c>
      <x:c r="G148" s="19" t="n">
        <x:f>SUM(C148:F148)</x:f>
        <x:v>7428046885</x:v>
      </x:c>
    </x:row>
    <x:row r="149" ht="22" customHeight="1">
      <x:c r="A149" s="15" t="str">
        <x:v>Республика Корея</x:v>
      </x:c>
      <x:c r="B149" s="20" t="d">
        <x:v>2020-11-01T00:00:00.000Z</x:v>
      </x:c>
      <x:c r="C149" s="19" t="n">
        <x:v>2284476622</x:v>
      </x:c>
      <x:c r="D149" s="19" t="n">
        <x:v>4362092236</x:v>
      </x:c>
      <x:c r="E149" s="19" t="n">
        <x:v>10588962</x:v>
      </x:c>
      <x:c r="F149" s="19" t="n">
        <x:v>680564961</x:v>
      </x:c>
      <x:c r="G149" s="19" t="n">
        <x:f>SUM(C149:F149)</x:f>
        <x:v>7337722781</x:v>
      </x:c>
    </x:row>
    <x:row r="150" ht="22" customHeight="1">
      <x:c r="A150" s="15" t="str">
        <x:v>Республика Корея</x:v>
      </x:c>
      <x:c r="B150" s="20" t="d">
        <x:v>2020-12-01T00:00:00.000Z</x:v>
      </x:c>
      <x:c r="C150" s="19" t="n">
        <x:v>2319925430</x:v>
      </x:c>
      <x:c r="D150" s="19" t="n">
        <x:v>4841979587</x:v>
      </x:c>
      <x:c r="E150" s="19" t="n">
        <x:v>10229530</x:v>
      </x:c>
      <x:c r="F150" s="19" t="n">
        <x:v>656481892</x:v>
      </x:c>
      <x:c r="G150" s="19" t="n">
        <x:f>SUM(C150:F150)</x:f>
        <x:v>7828616439</x:v>
      </x:c>
    </x:row>
    <x:row r="151" ht="22" customHeight="1">
      <x:c r="A151" s="15" t="str">
        <x:v>Республика Корея</x:v>
      </x:c>
      <x:c r="B151" s="20" t="d">
        <x:v>2021-01-01T00:00:00.000Z</x:v>
      </x:c>
      <x:c r="C151" s="19" t="n">
        <x:v>2284421795</x:v>
      </x:c>
      <x:c r="D151" s="19" t="n">
        <x:v>4432808695</x:v>
      </x:c>
      <x:c r="E151" s="19" t="n">
        <x:v>10415806</x:v>
      </x:c>
      <x:c r="F151" s="19" t="n">
        <x:v>609803295</x:v>
      </x:c>
      <x:c r="G151" s="19" t="n">
        <x:f>SUM(C151:F151)</x:f>
        <x:v>7337449591</x:v>
      </x:c>
    </x:row>
    <x:row r="152" ht="22" customHeight="1">
      <x:c r="A152" s="15" t="str">
        <x:v>Республика Корея</x:v>
      </x:c>
      <x:c r="B152" s="20" t="d">
        <x:v>2021-02-01T00:00:00.000Z</x:v>
      </x:c>
      <x:c r="C152" s="19" t="n">
        <x:v>2097595326</x:v>
      </x:c>
      <x:c r="D152" s="19" t="n">
        <x:v>4475772497</x:v>
      </x:c>
      <x:c r="E152" s="19" t="n">
        <x:v>11086350</x:v>
      </x:c>
      <x:c r="F152" s="19" t="n">
        <x:v>585257771</x:v>
      </x:c>
      <x:c r="G152" s="19" t="n">
        <x:f>SUM(C152:F152)</x:f>
        <x:v>7169711944</x:v>
      </x:c>
    </x:row>
    <x:row r="153" ht="22" customHeight="1">
      <x:c r="A153" s="15" t="str">
        <x:v>Республика Корея</x:v>
      </x:c>
      <x:c r="B153" s="20" t="d">
        <x:v>2021-03-01T00:00:00.000Z</x:v>
      </x:c>
      <x:c r="C153" s="19" t="n">
        <x:v>2217349982</x:v>
      </x:c>
      <x:c r="D153" s="19" t="n">
        <x:v>5213678446</x:v>
      </x:c>
      <x:c r="E153" s="19" t="n">
        <x:v>12143216</x:v>
      </x:c>
      <x:c r="F153" s="19" t="n">
        <x:v>667086298</x:v>
      </x:c>
      <x:c r="G153" s="19" t="n">
        <x:f>SUM(C153:F153)</x:f>
        <x:v>8110257942</x:v>
      </x:c>
    </x:row>
    <x:row r="154" ht="22" customHeight="1">
      <x:c r="A154" s="15" t="str">
        <x:v>Республика Корея</x:v>
      </x:c>
      <x:c r="B154" s="20" t="d">
        <x:v>2021-04-01T00:00:00.000Z</x:v>
      </x:c>
      <x:c r="C154" s="19" t="n">
        <x:v>2165653054</x:v>
      </x:c>
      <x:c r="D154" s="19" t="n">
        <x:v>4918901605</x:v>
      </x:c>
      <x:c r="E154" s="19" t="n">
        <x:v>11397939</x:v>
      </x:c>
      <x:c r="F154" s="19" t="n">
        <x:v>755984678</x:v>
      </x:c>
      <x:c r="G154" s="19" t="n">
        <x:f>SUM(C154:F154)</x:f>
        <x:v>7851937276</x:v>
      </x:c>
    </x:row>
    <x:row r="155" ht="22" customHeight="1">
      <x:c r="A155" s="15" t="str">
        <x:v>Республика Корея</x:v>
      </x:c>
      <x:c r="B155" s="20" t="d">
        <x:v>2021-05-01T00:00:00.000Z</x:v>
      </x:c>
      <x:c r="C155" s="19" t="n">
        <x:v>2312118033</x:v>
      </x:c>
      <x:c r="D155" s="19" t="n">
        <x:v>5616592342</x:v>
      </x:c>
      <x:c r="E155" s="19" t="n">
        <x:v>11366436</x:v>
      </x:c>
      <x:c r="F155" s="19" t="n">
        <x:v>690883354</x:v>
      </x:c>
      <x:c r="G155" s="19" t="n">
        <x:f>SUM(C155:F155)</x:f>
        <x:v>8630960165</x:v>
      </x:c>
    </x:row>
    <x:row r="156" ht="22" customHeight="1">
      <x:c r="A156" s="15" t="str">
        <x:v>Республика Корея</x:v>
      </x:c>
      <x:c r="B156" s="20" t="d">
        <x:v>2021-06-01T00:00:00.000Z</x:v>
      </x:c>
      <x:c r="C156" s="19" t="n">
        <x:v>2343562198</x:v>
      </x:c>
      <x:c r="D156" s="19" t="n">
        <x:v>6347070981</x:v>
      </x:c>
      <x:c r="E156" s="19" t="n">
        <x:v>13316056</x:v>
      </x:c>
      <x:c r="F156" s="19" t="n">
        <x:v>774277207</x:v>
      </x:c>
      <x:c r="G156" s="19" t="n">
        <x:f>SUM(C156:F156)</x:f>
        <x:v>9478226442</x:v>
      </x:c>
    </x:row>
    <x:row r="157" ht="22" customHeight="1">
      <x:c r="A157" s="15" t="str">
        <x:v>Республика Корея</x:v>
      </x:c>
      <x:c r="B157" s="20" t="d">
        <x:v>2021-07-01T00:00:00.000Z</x:v>
      </x:c>
      <x:c r="C157" s="19" t="n">
        <x:v>2555632858</x:v>
      </x:c>
      <x:c r="D157" s="19" t="n">
        <x:v>5902214901</x:v>
      </x:c>
      <x:c r="E157" s="19" t="n">
        <x:v>36657645</x:v>
      </x:c>
      <x:c r="F157" s="19" t="n">
        <x:v>742208938</x:v>
      </x:c>
      <x:c r="G157" s="19" t="n">
        <x:f>SUM(C157:F157)</x:f>
        <x:v>9236714342</x:v>
      </x:c>
    </x:row>
    <x:row r="158" ht="22" customHeight="1">
      <x:c r="A158" s="15" t="str">
        <x:v>Республика Корея</x:v>
      </x:c>
      <x:c r="B158" s="20" t="d">
        <x:v>2021-08-01T00:00:00.000Z</x:v>
      </x:c>
      <x:c r="C158" s="19" t="n">
        <x:v>2776019423</x:v>
      </x:c>
      <x:c r="D158" s="19" t="n">
        <x:v>6444265654</x:v>
      </x:c>
      <x:c r="E158" s="19" t="n">
        <x:v>15640403</x:v>
      </x:c>
      <x:c r="F158" s="19" t="n">
        <x:v>762240887</x:v>
      </x:c>
      <x:c r="G158" s="19" t="n">
        <x:f>SUM(C158:F158)</x:f>
        <x:v>9998166367</x:v>
      </x:c>
    </x:row>
    <x:row r="159" ht="22" customHeight="1">
      <x:c r="A159" s="15" t="str">
        <x:v>Республика Корея</x:v>
      </x:c>
      <x:c r="B159" s="20" t="d">
        <x:v>2021-09-01T00:00:00.000Z</x:v>
      </x:c>
      <x:c r="C159" s="19" t="n">
        <x:v>2937997765</x:v>
      </x:c>
      <x:c r="D159" s="19" t="n">
        <x:v>6746949710</x:v>
      </x:c>
      <x:c r="E159" s="19" t="n">
        <x:v>17421558</x:v>
      </x:c>
      <x:c r="F159" s="19" t="n">
        <x:v>790888586</x:v>
      </x:c>
      <x:c r="G159" s="19" t="n">
        <x:f>SUM(C159:F159)</x:f>
        <x:v>10493257619</x:v>
      </x:c>
    </x:row>
    <x:row r="160" ht="22" customHeight="1">
      <x:c r="A160" s="15" t="str">
        <x:v>Республика Корея</x:v>
      </x:c>
      <x:c r="B160" s="20" t="d">
        <x:v>2021-10-01T00:00:00.000Z</x:v>
      </x:c>
      <x:c r="C160" s="19" t="n">
        <x:v>2870301749</x:v>
      </x:c>
      <x:c r="D160" s="19" t="n">
        <x:v>5858840418</x:v>
      </x:c>
      <x:c r="E160" s="19" t="n">
        <x:v>20057501</x:v>
      </x:c>
      <x:c r="F160" s="19" t="n">
        <x:v>832417673</x:v>
      </x:c>
      <x:c r="G160" s="19" t="n">
        <x:f>SUM(C160:F160)</x:f>
        <x:v>9581617341</x:v>
      </x:c>
    </x:row>
    <x:row r="161" ht="22" customHeight="1">
      <x:c r="A161" s="15" t="str">
        <x:v>Республика Корея</x:v>
      </x:c>
      <x:c r="B161" s="20" t="d">
        <x:v>2021-11-01T00:00:00.000Z</x:v>
      </x:c>
      <x:c r="C161" s="19" t="n">
        <x:v>2893911970</x:v>
      </x:c>
      <x:c r="D161" s="19" t="n">
        <x:v>6391585662</x:v>
      </x:c>
      <x:c r="E161" s="19" t="n">
        <x:v>20333977</x:v>
      </x:c>
      <x:c r="F161" s="19" t="n">
        <x:v>987695297</x:v>
      </x:c>
      <x:c r="G161" s="19" t="n">
        <x:f>SUM(C161:F161)</x:f>
        <x:v>10293526906</x:v>
      </x:c>
    </x:row>
    <x:row r="162" ht="22" customHeight="1">
      <x:c r="A162" s="15" t="str">
        <x:v>Республика Корея</x:v>
      </x:c>
      <x:c r="B162" s="20" t="d">
        <x:v>2021-12-01T00:00:00.000Z</x:v>
      </x:c>
      <x:c r="C162" s="19" t="n">
        <x:v>2950659851</x:v>
      </x:c>
      <x:c r="D162" s="19" t="n">
        <x:v>6828534550</x:v>
      </x:c>
      <x:c r="E162" s="19" t="n">
        <x:v>31201982</x:v>
      </x:c>
      <x:c r="F162" s="19" t="n">
        <x:v>903174762</x:v>
      </x:c>
      <x:c r="G162" s="19" t="n">
        <x:f>SUM(C162:F162)</x:f>
        <x:v>10713571145</x:v>
      </x:c>
    </x:row>
    <x:row r="163" ht="22" customHeight="1">
      <x:c r="A163" s="15" t="str">
        <x:v>Республика Корея</x:v>
      </x:c>
      <x:c r="B163" s="20" t="d">
        <x:v>2022-01-01T00:00:00.000Z</x:v>
      </x:c>
      <x:c r="C163" s="19" t="n">
        <x:v>2891586353</x:v>
      </x:c>
      <x:c r="D163" s="19" t="n">
        <x:v>5540303052</x:v>
      </x:c>
      <x:c r="E163" s="19" t="n">
        <x:v>40746792</x:v>
      </x:c>
      <x:c r="F163" s="19" t="n">
        <x:v>930055756</x:v>
      </x:c>
      <x:c r="G163" s="19" t="n">
        <x:f>SUM(C163:F163)</x:f>
        <x:v>9402691953</x:v>
      </x:c>
    </x:row>
    <x:row r="164" ht="22" customHeight="1">
      <x:c r="A164" s="15" t="str">
        <x:v>Республика Корея</x:v>
      </x:c>
      <x:c r="B164" s="20" t="d">
        <x:v>2022-02-01T00:00:00.000Z</x:v>
      </x:c>
      <x:c r="C164" s="19" t="n">
        <x:v>2662761472</x:v>
      </x:c>
      <x:c r="D164" s="19" t="n">
        <x:v>5312902987</x:v>
      </x:c>
      <x:c r="E164" s="19" t="n">
        <x:v>24938649</x:v>
      </x:c>
      <x:c r="F164" s="19" t="n">
        <x:v>918900462</x:v>
      </x:c>
      <x:c r="G164" s="19" t="n">
        <x:f>SUM(C164:F164)</x:f>
        <x:v>8919503570</x:v>
      </x:c>
    </x:row>
    <x:row r="165" ht="22" customHeight="1">
      <x:c r="A165" s="15" t="str">
        <x:v>Республика Корея</x:v>
      </x:c>
      <x:c r="B165" s="20" t="d">
        <x:v>2022-03-01T00:00:00.000Z</x:v>
      </x:c>
      <x:c r="C165" s="19" t="n">
        <x:v>3377366551</x:v>
      </x:c>
      <x:c r="D165" s="19" t="n">
        <x:v>6778292305</x:v>
      </x:c>
      <x:c r="E165" s="19" t="n">
        <x:v>25513072</x:v>
      </x:c>
      <x:c r="F165" s="19" t="n">
        <x:v>1043063475</x:v>
      </x:c>
      <x:c r="G165" s="19" t="n">
        <x:f>SUM(C165:F165)</x:f>
        <x:v>11224235403</x:v>
      </x:c>
    </x:row>
    <x:row r="166" ht="22" customHeight="1">
      <x:c r="A166" s="15" t="str">
        <x:v>Республика Корея</x:v>
      </x:c>
      <x:c r="B166" s="20" t="d">
        <x:v>2022-04-01T00:00:00.000Z</x:v>
      </x:c>
      <x:c r="C166" s="19" t="n">
        <x:v>2819969037</x:v>
      </x:c>
      <x:c r="D166" s="19" t="n">
        <x:v>5328852016</x:v>
      </x:c>
      <x:c r="E166" s="19" t="n">
        <x:v>34254165</x:v>
      </x:c>
      <x:c r="F166" s="19" t="n">
        <x:v>1144831185</x:v>
      </x:c>
      <x:c r="G166" s="19" t="n">
        <x:f>SUM(C166:F166)</x:f>
        <x:v>9327906403</x:v>
      </x:c>
    </x:row>
    <x:row r="167" ht="22" customHeight="1">
      <x:c r="A167" s="15" t="str">
        <x:v>Республика Корея</x:v>
      </x:c>
      <x:c r="B167" s="20" t="d">
        <x:v>2022-05-01T00:00:00.000Z</x:v>
      </x:c>
      <x:c r="C167" s="19" t="n">
        <x:v>2787547976</x:v>
      </x:c>
      <x:c r="D167" s="19" t="n">
        <x:v>6038449580</x:v>
      </x:c>
      <x:c r="E167" s="19" t="n">
        <x:v>29011552</x:v>
      </x:c>
      <x:c r="F167" s="19" t="n">
        <x:v>1005036411</x:v>
      </x:c>
      <x:c r="G167" s="19" t="n">
        <x:f>SUM(C167:F167)</x:f>
        <x:v>9860045519</x:v>
      </x:c>
    </x:row>
    <x:row r="168" ht="22" customHeight="1">
      <x:c r="A168" s="15" t="str">
        <x:v>Республика Корея</x:v>
      </x:c>
      <x:c r="B168" s="20" t="d">
        <x:v>2022-06-01T00:00:00.000Z</x:v>
      </x:c>
      <x:c r="C168" s="19" t="n">
        <x:v>3230712704</x:v>
      </x:c>
      <x:c r="D168" s="19" t="n">
        <x:v>6402474068</x:v>
      </x:c>
      <x:c r="E168" s="19" t="n">
        <x:v>34598989</x:v>
      </x:c>
      <x:c r="F168" s="19" t="n">
        <x:v>900973441</x:v>
      </x:c>
      <x:c r="G168" s="19" t="n">
        <x:f>SUM(C168:F168)</x:f>
        <x:v>10568759202</x:v>
      </x:c>
    </x:row>
    <x:row r="169" ht="22" customHeight="1">
      <x:c r="A169" s="15" t="str">
        <x:v>Республика Корея</x:v>
      </x:c>
      <x:c r="B169" s="20" t="d">
        <x:v>2022-07-01T00:00:00.000Z</x:v>
      </x:c>
      <x:c r="C169" s="19" t="n">
        <x:v>3700790054</x:v>
      </x:c>
      <x:c r="D169" s="19" t="n">
        <x:v>5270134450</x:v>
      </x:c>
      <x:c r="E169" s="19" t="n">
        <x:v>52166282</x:v>
      </x:c>
      <x:c r="F169" s="19" t="n">
        <x:v>925576726</x:v>
      </x:c>
      <x:c r="G169" s="19" t="n">
        <x:f>SUM(C169:F169)</x:f>
        <x:v>9948667512</x:v>
      </x:c>
    </x:row>
    <x:row r="170" ht="22" customHeight="1">
      <x:c r="A170" s="15" t="str">
        <x:v>Республика Корея</x:v>
      </x:c>
      <x:c r="B170" s="20" t="d">
        <x:v>2022-08-01T00:00:00.000Z</x:v>
      </x:c>
      <x:c r="C170" s="19" t="n">
        <x:v>3737683363</x:v>
      </x:c>
      <x:c r="D170" s="19" t="n">
        <x:v>4967317435</x:v>
      </x:c>
      <x:c r="E170" s="19" t="n">
        <x:v>49961490</x:v>
      </x:c>
      <x:c r="F170" s="19" t="n">
        <x:v>869258549</x:v>
      </x:c>
      <x:c r="G170" s="19" t="n">
        <x:f>SUM(C170:F170)</x:f>
        <x:v>9624220837</x:v>
      </x:c>
    </x:row>
    <x:row r="171" ht="22" customHeight="1">
      <x:c r="A171" s="15" t="str">
        <x:v>Республика Корея</x:v>
      </x:c>
      <x:c r="B171" s="20" t="d">
        <x:v>2022-09-01T00:00:00.000Z</x:v>
      </x:c>
      <x:c r="C171" s="19" t="n">
        <x:v>3503703719</x:v>
      </x:c>
      <x:c r="D171" s="19" t="n">
        <x:v>5337766717</x:v>
      </x:c>
      <x:c r="E171" s="19" t="n">
        <x:v>62549371</x:v>
      </x:c>
      <x:c r="F171" s="19" t="n">
        <x:v>931913697</x:v>
      </x:c>
      <x:c r="G171" s="19" t="n">
        <x:f>SUM(C171:F171)</x:f>
        <x:v>9835933504</x:v>
      </x:c>
    </x:row>
    <x:row r="172" ht="22" customHeight="1">
      <x:c r="A172" s="15" t="str">
        <x:v>Республика Корея</x:v>
      </x:c>
      <x:c r="B172" s="20" t="d">
        <x:v>2022-10-01T00:00:00.000Z</x:v>
      </x:c>
      <x:c r="C172" s="19" t="n">
        <x:v>3410085873</x:v>
      </x:c>
      <x:c r="D172" s="19" t="n">
        <x:v>3963442928</x:v>
      </x:c>
      <x:c r="E172" s="19" t="n">
        <x:v>46462990</x:v>
      </x:c>
      <x:c r="F172" s="19" t="n">
        <x:v>919088575</x:v>
      </x:c>
      <x:c r="G172" s="19" t="n">
        <x:f>SUM(C172:F172)</x:f>
        <x:v>8339080366</x:v>
      </x:c>
    </x:row>
    <x:row r="173" ht="22" customHeight="1">
      <x:c r="A173" s="15" t="str">
        <x:v>Республика Корея</x:v>
      </x:c>
      <x:c r="B173" s="20" t="d">
        <x:v>2022-11-01T00:00:00.000Z</x:v>
      </x:c>
      <x:c r="C173" s="19" t="n">
        <x:v>3244607881</x:v>
      </x:c>
      <x:c r="D173" s="19" t="n">
        <x:v>3430391029</x:v>
      </x:c>
      <x:c r="E173" s="19" t="n">
        <x:v>57146988</x:v>
      </x:c>
      <x:c r="F173" s="19" t="n">
        <x:v>923206759</x:v>
      </x:c>
      <x:c r="G173" s="19" t="n">
        <x:f>SUM(C173:F173)</x:f>
        <x:v>7655352657</x:v>
      </x:c>
    </x:row>
    <x:row r="174" ht="22" customHeight="1">
      <x:c r="A174" s="15" t="str">
        <x:v>Республика Корея</x:v>
      </x:c>
      <x:c r="B174" s="20" t="d">
        <x:v>2022-12-01T00:00:00.000Z</x:v>
      </x:c>
      <x:c r="C174" s="19" t="n">
        <x:v>3036079072</x:v>
      </x:c>
      <x:c r="D174" s="19" t="n">
        <x:v>3407362138</x:v>
      </x:c>
      <x:c r="E174" s="19" t="n">
        <x:v>117040707</x:v>
      </x:c>
      <x:c r="F174" s="19" t="n">
        <x:v>1116456820</x:v>
      </x:c>
      <x:c r="G174" s="19" t="n">
        <x:f>SUM(C174:F174)</x:f>
        <x:v>7676938737</x:v>
      </x:c>
    </x:row>
    <x:row r="175" ht="22" customHeight="1">
      <x:c r="A175" s="15" t="str">
        <x:v>Республика Корея</x:v>
      </x:c>
      <x:c r="B175" s="20" t="d">
        <x:v>2023-01-01T00:00:00.000Z</x:v>
      </x:c>
      <x:c r="C175" s="19" t="n">
        <x:v>2134402615</x:v>
      </x:c>
      <x:c r="D175" s="19" t="n">
        <x:v>2490437636</x:v>
      </x:c>
      <x:c r="E175" s="19" t="n">
        <x:v>26619762</x:v>
      </x:c>
      <x:c r="F175" s="19" t="n">
        <x:v>734744341</x:v>
      </x:c>
      <x:c r="G175" s="19" t="n">
        <x:f>SUM(C175:F175)</x:f>
        <x:v>5386204354</x:v>
      </x:c>
    </x:row>
    <x:row r="176" ht="22" customHeight="1">
      <x:c r="A176" s="15" t="str">
        <x:v>Республика Корея</x:v>
      </x:c>
      <x:c r="B176" s="20" t="d">
        <x:v>2023-02-01T00:00:00.000Z</x:v>
      </x:c>
      <x:c r="C176" s="19" t="n">
        <x:v>1927548358</x:v>
      </x:c>
      <x:c r="D176" s="19" t="n">
        <x:v>2611222804</x:v>
      </x:c>
      <x:c r="E176" s="19" t="n">
        <x:v>47682731</x:v>
      </x:c>
      <x:c r="F176" s="19" t="n">
        <x:v>712436330</x:v>
      </x:c>
      <x:c r="G176" s="19" t="n">
        <x:f>SUM(C176:F176)</x:f>
        <x:v>5298890223</x:v>
      </x:c>
    </x:row>
    <x:row r="177" ht="22" customHeight="1">
      <x:c r="A177" s="15" t="str">
        <x:v>Республика Корея</x:v>
      </x:c>
      <x:c r="B177" s="20" t="d">
        <x:v>2023-03-01T00:00:00.000Z</x:v>
      </x:c>
      <x:c r="C177" s="19" t="n">
        <x:v>2606859394</x:v>
      </x:c>
      <x:c r="D177" s="19" t="n">
        <x:v>3742664196</x:v>
      </x:c>
      <x:c r="E177" s="19" t="n">
        <x:v>38269117</x:v>
      </x:c>
      <x:c r="F177" s="19" t="n">
        <x:v>984213695</x:v>
      </x:c>
      <x:c r="G177" s="19" t="n">
        <x:f>SUM(C177:F177)</x:f>
        <x:v>7372006402</x:v>
      </x:c>
    </x:row>
    <x:row r="178" ht="22" customHeight="1">
      <x:c r="A178" s="15" t="str">
        <x:v>Республика Корея</x:v>
      </x:c>
      <x:c r="B178" s="20" t="d">
        <x:v>2023-04-01T00:00:00.000Z</x:v>
      </x:c>
      <x:c r="C178" s="19" t="n">
        <x:v>2239386197</x:v>
      </x:c>
      <x:c r="D178" s="19" t="n">
        <x:v>2620417180</x:v>
      </x:c>
      <x:c r="E178" s="19" t="n">
        <x:v>22564813</x:v>
      </x:c>
      <x:c r="F178" s="19" t="n">
        <x:v>849650854</x:v>
      </x:c>
      <x:c r="G178" s="19" t="n">
        <x:f>SUM(C178:F178)</x:f>
        <x:v>5732019044</x:v>
      </x:c>
    </x:row>
    <x:row r="179" ht="22" customHeight="1">
      <x:c r="A179" s="15" t="str">
        <x:v>Республика Корея</x:v>
      </x:c>
      <x:c r="B179" s="20" t="d">
        <x:v>2023-05-01T00:00:00.000Z</x:v>
      </x:c>
      <x:c r="C179" s="19" t="n">
        <x:v>2781024195</x:v>
      </x:c>
      <x:c r="D179" s="19" t="n">
        <x:v>3024480517</x:v>
      </x:c>
      <x:c r="E179" s="19" t="n">
        <x:v>24244336</x:v>
      </x:c>
      <x:c r="F179" s="19" t="n">
        <x:v>827754107</x:v>
      </x:c>
      <x:c r="G179" s="19" t="n">
        <x:f>SUM(C179:F179)</x:f>
        <x:v>6657503155</x:v>
      </x:c>
    </x:row>
    <x:row r="180" ht="22" customHeight="1">
      <x:c r="A180" s="15" t="str">
        <x:v>Республика Корея</x:v>
      </x:c>
      <x:c r="B180" s="20" t="d">
        <x:v>2023-06-01T00:00:00.000Z</x:v>
      </x:c>
      <x:c r="C180" s="19" t="n">
        <x:v>2646244910</x:v>
      </x:c>
      <x:c r="D180" s="19" t="n">
        <x:v>4033803890</x:v>
      </x:c>
      <x:c r="E180" s="19" t="n">
        <x:v>23917031</x:v>
      </x:c>
      <x:c r="F180" s="19" t="n">
        <x:v>1101592479</x:v>
      </x:c>
      <x:c r="G180" s="19" t="n">
        <x:f>SUM(C180:F180)</x:f>
        <x:v>7805558310</x:v>
      </x:c>
    </x:row>
    <x:row r="181" ht="22" customHeight="1">
      <x:c r="A181" s="15" t="str">
        <x:v>Республика Корея</x:v>
      </x:c>
      <x:c r="B181" s="20" t="d">
        <x:v>2023-07-01T00:00:00.000Z</x:v>
      </x:c>
      <x:c r="C181" s="19" t="n">
        <x:v>2627151666</x:v>
      </x:c>
      <x:c r="D181" s="19" t="n">
        <x:v>3052040144</x:v>
      </x:c>
      <x:c r="E181" s="19" t="n">
        <x:v>19516915</x:v>
      </x:c>
      <x:c r="F181" s="19" t="n">
        <x:v>817864659</x:v>
      </x:c>
      <x:c r="G181" s="19" t="n">
        <x:f>SUM(C181:F181)</x:f>
        <x:v>6516573384</x:v>
      </x:c>
    </x:row>
    <x:row r="182" ht="22" customHeight="1">
      <x:c r="A182" s="15" t="str">
        <x:v>Республика Корея</x:v>
      </x:c>
      <x:c r="B182" s="20" t="d">
        <x:v>2023-08-01T00:00:00.000Z</x:v>
      </x:c>
      <x:c r="C182" s="19" t="n">
        <x:v>3089726557</x:v>
      </x:c>
      <x:c r="D182" s="19" t="n">
        <x:v>3727057608</x:v>
      </x:c>
      <x:c r="E182" s="19" t="n">
        <x:v>22679537</x:v>
      </x:c>
      <x:c r="F182" s="19" t="n">
        <x:v>845355194</x:v>
      </x:c>
      <x:c r="G182" s="19" t="n">
        <x:f>SUM(C182:F182)</x:f>
        <x:v>7684818896</x:v>
      </x:c>
    </x:row>
    <x:row r="183" ht="22" customHeight="1">
      <x:c r="A183" s="15" t="str">
        <x:v>Республика Корея</x:v>
      </x:c>
      <x:c r="B183" s="20" t="d">
        <x:v>2023-09-01T00:00:00.000Z</x:v>
      </x:c>
      <x:c r="C183" s="19" t="n">
        <x:v>2927815173</x:v>
      </x:c>
      <x:c r="D183" s="19" t="n">
        <x:v>4265429548</x:v>
      </x:c>
      <x:c r="E183" s="19" t="n">
        <x:v>21365426</x:v>
      </x:c>
      <x:c r="F183" s="19" t="n">
        <x:v>1198434908</x:v>
      </x:c>
      <x:c r="G183" s="19" t="n">
        <x:f>SUM(C183:F183)</x:f>
        <x:v>8413045055</x:v>
      </x:c>
    </x:row>
    <x:row r="184" ht="22" customHeight="1">
      <x:c r="A184" s="15" t="str">
        <x:v>Республика Корея</x:v>
      </x:c>
      <x:c r="B184" s="20" t="d">
        <x:v>2023-10-01T00:00:00.000Z</x:v>
      </x:c>
      <x:c r="C184" s="19" t="n">
        <x:v>3069812848</x:v>
      </x:c>
      <x:c r="D184" s="19" t="n">
        <x:v>3750564910</x:v>
      </x:c>
      <x:c r="E184" s="19" t="n">
        <x:v>17338897</x:v>
      </x:c>
      <x:c r="F184" s="19" t="n">
        <x:v>965359914</x:v>
      </x:c>
      <x:c r="G184" s="19" t="n">
        <x:f>SUM(C184:F184)</x:f>
        <x:v>7803076569</x:v>
      </x:c>
    </x:row>
    <x:row r="185" ht="22" customHeight="1">
      <x:c r="A185" s="15" t="str">
        <x:v>Республика Корея</x:v>
      </x:c>
      <x:c r="B185" s="20" t="d">
        <x:v>2023-11-01T00:00:00.000Z</x:v>
      </x:c>
      <x:c r="C185" s="19" t="n">
        <x:v>2881017015</x:v>
      </x:c>
      <x:c r="D185" s="19" t="n">
        <x:v>4260883659</x:v>
      </x:c>
      <x:c r="E185" s="19" t="n">
        <x:v>22456524</x:v>
      </x:c>
      <x:c r="F185" s="19" t="n">
        <x:v>972545257</x:v>
      </x:c>
      <x:c r="G185" s="19" t="n">
        <x:f>SUM(C185:F185)</x:f>
        <x:v>8136902455</x:v>
      </x:c>
    </x:row>
    <x:row r="186" ht="22" customHeight="1">
      <x:c r="A186" s="15" t="str">
        <x:v>Республика Корея</x:v>
      </x:c>
      <x:c r="B186" s="20" t="d">
        <x:v>2023-12-01T00:00:00.000Z</x:v>
      </x:c>
      <x:c r="C186" s="19" t="n">
        <x:v>2483493330</x:v>
      </x:c>
      <x:c r="D186" s="19" t="n">
        <x:v>5314815425</x:v>
      </x:c>
      <x:c r="E186" s="19" t="n">
        <x:v>16799361</x:v>
      </x:c>
      <x:c r="F186" s="19" t="n">
        <x:v>1165944799</x:v>
      </x:c>
      <x:c r="G186" s="19" t="n">
        <x:f>SUM(C186:F186)</x:f>
        <x:v>8981052915</x:v>
      </x:c>
    </x:row>
    <x:row r="187" ht="22" customHeight="1">
      <x:c r="A187" s="15" t="str">
        <x:v>Республика Корея</x:v>
      </x:c>
      <x:c r="B187" s="20" t="d">
        <x:v>2024-01-01T00:00:00.000Z</x:v>
      </x:c>
      <x:c r="C187" s="19" t="n">
        <x:v>2712657419</x:v>
      </x:c>
      <x:c r="D187" s="19" t="n">
        <x:v>4537021212</x:v>
      </x:c>
      <x:c r="E187" s="19" t="n">
        <x:v>20182321</x:v>
      </x:c>
      <x:c r="F187" s="19" t="n">
        <x:v>904550462</x:v>
      </x:c>
      <x:c r="G187" s="19" t="n">
        <x:f>SUM(C187:F187)</x:f>
        <x:v>8174411414</x:v>
      </x:c>
    </x:row>
    <x:row r="188" ht="22" customHeight="1">
      <x:c r="A188" s="15" t="str">
        <x:v>Республика Корея</x:v>
      </x:c>
      <x:c r="B188" s="20" t="d">
        <x:v>2024-02-01T00:00:00.000Z</x:v>
      </x:c>
      <x:c r="C188" s="19" t="n">
        <x:v>2541898301</x:v>
      </x:c>
      <x:c r="D188" s="19" t="n">
        <x:v>5176639915</x:v>
      </x:c>
      <x:c r="E188" s="19" t="n">
        <x:v>18533343</x:v>
      </x:c>
      <x:c r="F188" s="19" t="n">
        <x:v>856992837</x:v>
      </x:c>
      <x:c r="G188" s="19" t="n">
        <x:f>SUM(C188:F188)</x:f>
        <x:v>8594064396</x:v>
      </x:c>
    </x:row>
    <x:row r="189" ht="22" customHeight="1">
      <x:c r="A189" s="15" t="str">
        <x:v>Республика Корея</x:v>
      </x:c>
      <x:c r="B189" s="20" t="d">
        <x:v>2024-03-01T00:00:00.000Z</x:v>
      </x:c>
      <x:c r="C189" s="19" t="n">
        <x:v>2879931629</x:v>
      </x:c>
      <x:c r="D189" s="19" t="n">
        <x:v>5765592551</x:v>
      </x:c>
      <x:c r="E189" s="19" t="n">
        <x:v>21524756</x:v>
      </x:c>
      <x:c r="F189" s="19" t="n">
        <x:v>889949932</x:v>
      </x:c>
      <x:c r="G189" s="19" t="n">
        <x:f>SUM(C189:F189)</x:f>
        <x:v>9556998868</x:v>
      </x:c>
    </x:row>
    <x:row r="190" ht="22" customHeight="1">
      <x:c r="A190" s="15" t="str">
        <x:v>Республика Корея</x:v>
      </x:c>
      <x:c r="B190" s="20" t="d">
        <x:v>2024-04-01T00:00:00.000Z</x:v>
      </x:c>
      <x:c r="C190" s="19" t="n">
        <x:v>2837485467</x:v>
      </x:c>
      <x:c r="D190" s="19" t="n">
        <x:v>4896711483</x:v>
      </x:c>
      <x:c r="E190" s="19" t="n">
        <x:v>19024054</x:v>
      </x:c>
      <x:c r="F190" s="19" t="n">
        <x:v>838018288</x:v>
      </x:c>
      <x:c r="G190" s="19" t="n">
        <x:f>SUM(C190:F190)</x:f>
        <x:v>8591239292</x:v>
      </x:c>
    </x:row>
    <x:row r="191" ht="22" customHeight="1">
      <x:c r="A191" s="15" t="str">
        <x:v>Республика Корея</x:v>
      </x:c>
      <x:c r="B191" s="20" t="d">
        <x:v>2024-05-01T00:00:00.000Z</x:v>
      </x:c>
      <x:c r="C191" s="19" t="n">
        <x:v>3180241849</x:v>
      </x:c>
      <x:c r="D191" s="19" t="n">
        <x:v>5714466095</x:v>
      </x:c>
      <x:c r="E191" s="19" t="n">
        <x:v>21387637</x:v>
      </x:c>
      <x:c r="F191" s="19" t="n">
        <x:v>868299901</x:v>
      </x:c>
      <x:c r="G191" s="19" t="n">
        <x:f>SUM(C191:F191)</x:f>
        <x:v>9784395482</x:v>
      </x:c>
    </x:row>
    <x:row r="192" ht="22" customHeight="1">
      <x:c r="A192" s="15" t="str">
        <x:v>Республика Корея</x:v>
      </x:c>
      <x:c r="B192" s="20" t="d">
        <x:v>2024-06-01T00:00:00.000Z</x:v>
      </x:c>
      <x:c r="C192" s="19" t="n">
        <x:v>2860691214</x:v>
      </x:c>
      <x:c r="D192" s="19" t="n">
        <x:v>7055050042</x:v>
      </x:c>
      <x:c r="E192" s="19" t="n">
        <x:v>18084767</x:v>
      </x:c>
      <x:c r="F192" s="19" t="n">
        <x:v>1250720003</x:v>
      </x:c>
      <x:c r="G192" s="19" t="n">
        <x:f>SUM(C192:F192)</x:f>
        <x:v>11184546026</x:v>
      </x:c>
    </x:row>
    <x:row r="193" ht="22" customHeight="1">
      <x:c r="A193" s="15" t="str">
        <x:v>Республика Корея</x:v>
      </x:c>
      <x:c r="B193" s="20" t="d">
        <x:v>2024-07-01T00:00:00.000Z</x:v>
      </x:c>
      <x:c r="C193" s="19" t="n">
        <x:v>3012996035</x:v>
      </x:c>
      <x:c r="D193" s="19" t="n">
        <x:v>5804491763</x:v>
      </x:c>
      <x:c r="E193" s="19" t="n">
        <x:v>20551749</x:v>
      </x:c>
      <x:c r="F193" s="19" t="n">
        <x:v>862840148</x:v>
      </x:c>
      <x:c r="G193" s="19" t="n">
        <x:f>SUM(C193:F193)</x:f>
        <x:v>9700879695</x:v>
      </x:c>
    </x:row>
    <x:row r="194" ht="22" customHeight="1">
      <x:c r="A194" s="15" t="str">
        <x:v>Республика Корея</x:v>
      </x:c>
      <x:c r="B194" s="20" t="d">
        <x:v>2024-08-01T00:00:00.000Z</x:v>
      </x:c>
      <x:c r="C194" s="19" t="n">
        <x:v>3165063548</x:v>
      </x:c>
      <x:c r="D194" s="19" t="n">
        <x:v>6034933835</x:v>
      </x:c>
      <x:c r="E194" s="19" t="n">
        <x:v>22801887</x:v>
      </x:c>
      <x:c r="F194" s="19" t="n">
        <x:v>877686674</x:v>
      </x:c>
      <x:c r="G194" s="19" t="n">
        <x:f>SUM(C194:F194)</x:f>
        <x:v>10100485944</x:v>
      </x:c>
    </x:row>
    <x:row r="195" ht="22" customHeight="1">
      <x:c r="A195" s="15" t="str">
        <x:v>Республика Корея</x:v>
      </x:c>
      <x:c r="B195" s="20" t="d">
        <x:v>2024-09-01T00:00:00.000Z</x:v>
      </x:c>
      <x:c r="C195" s="19" t="n">
        <x:v>3062308261</x:v>
      </x:c>
      <x:c r="D195" s="19" t="n">
        <x:v>6926348924</x:v>
      </x:c>
      <x:c r="E195" s="19" t="n">
        <x:v>16850963</x:v>
      </x:c>
      <x:c r="F195" s="19" t="n">
        <x:v>1288372009</x:v>
      </x:c>
      <x:c r="G195" s="19" t="n">
        <x:f>SUM(C195:F195)</x:f>
        <x:v>11293880157</x:v>
      </x:c>
    </x:row>
    <x:row r="196" ht="22" customHeight="1">
      <x:c r="A196" s="15" t="str">
        <x:v>Республика Корея</x:v>
      </x:c>
      <x:c r="B196" s="20" t="d">
        <x:v>2024-10-01T00:00:00.000Z</x:v>
      </x:c>
      <x:c r="C196" s="19" t="n">
        <x:v>3622917709</x:v>
      </x:c>
      <x:c r="D196" s="19" t="n">
        <x:v>6220656370</x:v>
      </x:c>
      <x:c r="E196" s="19" t="n">
        <x:v>16183293</x:v>
      </x:c>
      <x:c r="F196" s="19" t="n">
        <x:v>944787815</x:v>
      </x:c>
      <x:c r="G196" s="19" t="n">
        <x:f>SUM(C196:F196)</x:f>
        <x:v>10804545187</x:v>
      </x:c>
    </x:row>
    <x:row r="197" ht="22" customHeight="1">
      <x:c r="A197" s="15" t="str">
        <x:v>Республика Корея</x:v>
      </x:c>
      <x:c r="B197" s="20" t="d">
        <x:v>2024-11-01T00:00:00.000Z</x:v>
      </x:c>
      <x:c r="C197" s="19" t="n">
        <x:v>3056340413</x:v>
      </x:c>
      <x:c r="D197" s="19" t="n">
        <x:v>6443621669</x:v>
      </x:c>
      <x:c r="E197" s="19" t="n">
        <x:v>17427109</x:v>
      </x:c>
      <x:c r="F197" s="19" t="n">
        <x:v>872447977</x:v>
      </x:c>
      <x:c r="G197" s="19" t="n">
        <x:f>SUM(C197:F197)</x:f>
        <x:v>10389837168</x:v>
      </x:c>
    </x:row>
    <x:row r="198" ht="22" customHeight="1">
      <x:c r="A198" s="15" t="str">
        <x:v>Республика Корея</x:v>
      </x:c>
      <x:c r="B198" s="20" t="d">
        <x:v>2024-12-01T00:00:00.000Z</x:v>
      </x:c>
      <x:c r="C198" s="19" t="n">
        <x:v>2913087578</x:v>
      </x:c>
      <x:c r="D198" s="19" t="n">
        <x:v>7444169908</x:v>
      </x:c>
      <x:c r="E198" s="19" t="n">
        <x:v>15033597</x:v>
      </x:c>
      <x:c r="F198" s="19" t="n">
        <x:v>1272423589</x:v>
      </x:c>
      <x:c r="G198" s="19" t="n">
        <x:f>SUM(C198:F198)</x:f>
        <x:v>11644714672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</x:cols>
  <x:sheetData>
    <x:row r="1" ht="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4" t="str">
        <x:v>Месячные суммы по направлениям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2" customHeight="1">
      <x:c r="A3" s="6" t="str">
        <x:v>Обработанные наблюдения: четыре товара, восемь направлений и остаток. Доллары США, текущие цены.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7" t="str">
        <x:v>Источник: S04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6" customHeight="1">
      <x:c r="A5" s="8" t="str">
        <x:v>Месячные суммы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3" t="str">
        <x:v>Страна</x:v>
      </x:c>
      <x:c r="B6" s="13" t="str">
        <x:v>Месяц</x:v>
      </x:c>
      <x:c r="C6" s="13" t="str">
        <x:v>Китай</x:v>
      </x:c>
      <x:c r="D6" s="13" t="str">
        <x:v>Гонконг</x:v>
      </x:c>
      <x:c r="E6" s="13" t="str">
        <x:v>Прочая Азия, н.в.д. (490)</x:v>
      </x:c>
      <x:c r="F6" s="13" t="str">
        <x:v>Вьетнам</x:v>
      </x:c>
      <x:c r="G6" s="13" t="str">
        <x:v>Сингапур</x:v>
      </x:c>
      <x:c r="H6" s="13" t="str">
        <x:v>Филиппины</x:v>
      </x:c>
      <x:c r="I6" s="13" t="str">
        <x:v>США</x:v>
      </x:c>
      <x:c r="J6" s="13" t="str">
        <x:v>Таиланд</x:v>
      </x:c>
      <x:c r="K6" s="13" t="str">
        <x:v>Остальные направления</x:v>
      </x:c>
    </x:row>
    <x:row r="7" ht="22" customHeight="1">
      <x:c r="A7" s="15" t="str">
        <x:v>Япония</x:v>
      </x:c>
      <x:c r="B7" s="20" t="d">
        <x:v>2017-01-01T00:00:00.000Z</x:v>
      </x:c>
      <x:c r="C7" s="19" t="n">
        <x:v>462415368.818</x:v>
      </x:c>
      <x:c r="D7" s="19" t="n">
        <x:v>293561470.93799996</x:v>
      </x:c>
      <x:c r="E7" s="19" t="n">
        <x:v>351457534.775</x:v>
      </x:c>
      <x:c r="F7" s="19" t="n">
        <x:v>61280753.47400001</x:v>
      </x:c>
      <x:c r="G7" s="19" t="n">
        <x:v>92300311.17199999</x:v>
      </x:c>
      <x:c r="H7" s="19" t="n">
        <x:v>37614984.842999995</x:v>
      </x:c>
      <x:c r="I7" s="19" t="n">
        <x:v>85391742.305</x:v>
      </x:c>
      <x:c r="J7" s="19" t="n">
        <x:v>86465590.176</x:v>
      </x:c>
      <x:c r="K7" s="19" t="n">
        <x:v>323719982.587</x:v>
      </x:c>
    </x:row>
    <x:row r="8" ht="22" customHeight="1">
      <x:c r="A8" s="15" t="str">
        <x:v>Япония</x:v>
      </x:c>
      <x:c r="B8" s="20" t="d">
        <x:v>2017-02-01T00:00:00.000Z</x:v>
      </x:c>
      <x:c r="C8" s="19" t="n">
        <x:v>494628983.112</x:v>
      </x:c>
      <x:c r="D8" s="19" t="n">
        <x:v>342229670.376</x:v>
      </x:c>
      <x:c r="E8" s="19" t="n">
        <x:v>398663428.94399995</x:v>
      </x:c>
      <x:c r="F8" s="19" t="n">
        <x:v>74700562.992</x:v>
      </x:c>
      <x:c r="G8" s="19" t="n">
        <x:v>82408029.396</x:v>
      </x:c>
      <x:c r="H8" s="19" t="n">
        <x:v>41765330.112</x:v>
      </x:c>
      <x:c r="I8" s="19" t="n">
        <x:v>91907723.556</x:v>
      </x:c>
      <x:c r="J8" s="19" t="n">
        <x:v>78106608.492</x:v>
      </x:c>
      <x:c r="K8" s="19" t="n">
        <x:v>318825094.5</x:v>
      </x:c>
    </x:row>
    <x:row r="9" ht="22" customHeight="1">
      <x:c r="A9" s="15" t="str">
        <x:v>Япония</x:v>
      </x:c>
      <x:c r="B9" s="20" t="d">
        <x:v>2017-03-01T00:00:00.000Z</x:v>
      </x:c>
      <x:c r="C9" s="19" t="n">
        <x:v>514496726.25699997</x:v>
      </x:c>
      <x:c r="D9" s="19" t="n">
        <x:v>308182822.197</x:v>
      </x:c>
      <x:c r="E9" s="19" t="n">
        <x:v>418739387.668</x:v>
      </x:c>
      <x:c r="F9" s="19" t="n">
        <x:v>66179467.599</x:v>
      </x:c>
      <x:c r="G9" s="19" t="n">
        <x:v>90020629.228</x:v>
      </x:c>
      <x:c r="H9" s="19" t="n">
        <x:v>47254217.487</x:v>
      </x:c>
      <x:c r="I9" s="19" t="n">
        <x:v>112294969.21900001</x:v>
      </x:c>
      <x:c r="J9" s="19" t="n">
        <x:v>87702907.99700001</x:v>
      </x:c>
      <x:c r="K9" s="19" t="n">
        <x:v>343146805.168</x:v>
      </x:c>
    </x:row>
    <x:row r="10" ht="22" customHeight="1">
      <x:c r="A10" s="15" t="str">
        <x:v>Япония</x:v>
      </x:c>
      <x:c r="B10" s="20" t="d">
        <x:v>2017-04-01T00:00:00.000Z</x:v>
      </x:c>
      <x:c r="C10" s="19" t="n">
        <x:v>504288964.10200006</x:v>
      </x:c>
      <x:c r="D10" s="19" t="n">
        <x:v>362321658.77599996</x:v>
      </x:c>
      <x:c r="E10" s="19" t="n">
        <x:v>418562108.888</x:v>
      </x:c>
      <x:c r="F10" s="19" t="n">
        <x:v>73800589.786</x:v>
      </x:c>
      <x:c r="G10" s="19" t="n">
        <x:v>77944877.934</x:v>
      </x:c>
      <x:c r="H10" s="19" t="n">
        <x:v>46933751.172000006</x:v>
      </x:c>
      <x:c r="I10" s="19" t="n">
        <x:v>93537535.168</x:v>
      </x:c>
      <x:c r="J10" s="19" t="n">
        <x:v>89881746.72399999</x:v>
      </x:c>
      <x:c r="K10" s="19" t="n">
        <x:v>339391275.14599997</x:v>
      </x:c>
    </x:row>
    <x:row r="11" ht="22" customHeight="1">
      <x:c r="A11" s="15" t="str">
        <x:v>Япония</x:v>
      </x:c>
      <x:c r="B11" s="20" t="d">
        <x:v>2017-05-01T00:00:00.000Z</x:v>
      </x:c>
      <x:c r="C11" s="19" t="n">
        <x:v>487940875.548</x:v>
      </x:c>
      <x:c r="D11" s="19" t="n">
        <x:v>327676628.872</x:v>
      </x:c>
      <x:c r="E11" s="19" t="n">
        <x:v>378857525.056</x:v>
      </x:c>
      <x:c r="F11" s="19" t="n">
        <x:v>47834980.12</x:v>
      </x:c>
      <x:c r="G11" s="19" t="n">
        <x:v>69219685.264</x:v>
      </x:c>
      <x:c r="H11" s="19" t="n">
        <x:v>45830243.628</x:v>
      </x:c>
      <x:c r="I11" s="19" t="n">
        <x:v>80953071.256</x:v>
      </x:c>
      <x:c r="J11" s="19" t="n">
        <x:v>95438174.08000001</x:v>
      </x:c>
      <x:c r="K11" s="19" t="n">
        <x:v>322341547.5</x:v>
      </x:c>
    </x:row>
    <x:row r="12" ht="22" customHeight="1">
      <x:c r="A12" s="15" t="str">
        <x:v>Япония</x:v>
      </x:c>
      <x:c r="B12" s="20" t="d">
        <x:v>2017-06-01T00:00:00.000Z</x:v>
      </x:c>
      <x:c r="C12" s="19" t="n">
        <x:v>530886035.5120001</x:v>
      </x:c>
      <x:c r="D12" s="19" t="n">
        <x:v>350665346.75200003</x:v>
      </x:c>
      <x:c r="E12" s="19" t="n">
        <x:v>452915180.64799994</x:v>
      </x:c>
      <x:c r="F12" s="19" t="n">
        <x:v>56494292.064</x:v>
      </x:c>
      <x:c r="G12" s="19" t="n">
        <x:v>87747724.12</x:v>
      </x:c>
      <x:c r="H12" s="19" t="n">
        <x:v>51385898.592</x:v>
      </x:c>
      <x:c r="I12" s="19" t="n">
        <x:v>97118359.464</x:v>
      </x:c>
      <x:c r="J12" s="19" t="n">
        <x:v>92429200.976</x:v>
      </x:c>
      <x:c r="K12" s="19" t="n">
        <x:v>344736244.832</x:v>
      </x:c>
    </x:row>
    <x:row r="13" ht="22" customHeight="1">
      <x:c r="A13" s="15" t="str">
        <x:v>Япония</x:v>
      </x:c>
      <x:c r="B13" s="20" t="d">
        <x:v>2017-07-01T00:00:00.000Z</x:v>
      </x:c>
      <x:c r="C13" s="19" t="n">
        <x:v>546962023.808</x:v>
      </x:c>
      <x:c r="D13" s="19" t="n">
        <x:v>333037273.533</x:v>
      </x:c>
      <x:c r="E13" s="19" t="n">
        <x:v>467870623.13100004</x:v>
      </x:c>
      <x:c r="F13" s="19" t="n">
        <x:v>61577761.506</x:v>
      </x:c>
      <x:c r="G13" s="19" t="n">
        <x:v>91761764.448</x:v>
      </x:c>
      <x:c r="H13" s="19" t="n">
        <x:v>46433016.901</x:v>
      </x:c>
      <x:c r="I13" s="19" t="n">
        <x:v>93163132.108</x:v>
      </x:c>
      <x:c r="J13" s="19" t="n">
        <x:v>85272543.781</x:v>
      </x:c>
      <x:c r="K13" s="19" t="n">
        <x:v>364807325.19</x:v>
      </x:c>
    </x:row>
    <x:row r="14" ht="22" customHeight="1">
      <x:c r="A14" s="15" t="str">
        <x:v>Япония</x:v>
      </x:c>
      <x:c r="B14" s="20" t="d">
        <x:v>2017-08-01T00:00:00.000Z</x:v>
      </x:c>
      <x:c r="C14" s="19" t="n">
        <x:v>617708647.409</x:v>
      </x:c>
      <x:c r="D14" s="19" t="n">
        <x:v>355672991.35899997</x:v>
      </x:c>
      <x:c r="E14" s="19" t="n">
        <x:v>502678063.403</x:v>
      </x:c>
      <x:c r="F14" s="19" t="n">
        <x:v>83521011.33299999</x:v>
      </x:c>
      <x:c r="G14" s="19" t="n">
        <x:v>102442987.534</x:v>
      </x:c>
      <x:c r="H14" s="19" t="n">
        <x:v>45550442.480000004</x:v>
      </x:c>
      <x:c r="I14" s="19" t="n">
        <x:v>98168260.84</x:v>
      </x:c>
      <x:c r="J14" s="19" t="n">
        <x:v>99835718.586</x:v>
      </x:c>
      <x:c r="K14" s="19" t="n">
        <x:v>372144311.069</x:v>
      </x:c>
    </x:row>
    <x:row r="15" ht="22" customHeight="1">
      <x:c r="A15" s="15" t="str">
        <x:v>Япония</x:v>
      </x:c>
      <x:c r="B15" s="20" t="d">
        <x:v>2017-09-01T00:00:00.000Z</x:v>
      </x:c>
      <x:c r="C15" s="19" t="n">
        <x:v>662458616.153</x:v>
      </x:c>
      <x:c r="D15" s="19" t="n">
        <x:v>339520537.11</x:v>
      </x:c>
      <x:c r="E15" s="19" t="n">
        <x:v>415203078.645</x:v>
      </x:c>
      <x:c r="F15" s="19" t="n">
        <x:v>111734124.319</x:v>
      </x:c>
      <x:c r="G15" s="19" t="n">
        <x:v>100758557.485</x:v>
      </x:c>
      <x:c r="H15" s="19" t="n">
        <x:v>40629457.615</x:v>
      </x:c>
      <x:c r="I15" s="19" t="n">
        <x:v>100089546.901</x:v>
      </x:c>
      <x:c r="J15" s="19" t="n">
        <x:v>103839636.851</x:v>
      </x:c>
      <x:c r="K15" s="19" t="n">
        <x:v>398952330.615</x:v>
      </x:c>
    </x:row>
    <x:row r="16" ht="22" customHeight="1">
      <x:c r="A16" s="15" t="str">
        <x:v>Япония</x:v>
      </x:c>
      <x:c r="B16" s="20" t="d">
        <x:v>2017-10-01T00:00:00.000Z</x:v>
      </x:c>
      <x:c r="C16" s="19" t="n">
        <x:v>582158279.547</x:v>
      </x:c>
      <x:c r="D16" s="19" t="n">
        <x:v>318631596.191</x:v>
      </x:c>
      <x:c r="E16" s="19" t="n">
        <x:v>431741984.69</x:v>
      </x:c>
      <x:c r="F16" s="19" t="n">
        <x:v>79739600.71</x:v>
      </x:c>
      <x:c r="G16" s="19" t="n">
        <x:v>91489421.86199999</x:v>
      </x:c>
      <x:c r="H16" s="19" t="n">
        <x:v>47232648.368999995</x:v>
      </x:c>
      <x:c r="I16" s="19" t="n">
        <x:v>89618465.96700001</x:v>
      </x:c>
      <x:c r="J16" s="19" t="n">
        <x:v>110741702.05</x:v>
      </x:c>
      <x:c r="K16" s="19" t="n">
        <x:v>393054734.839</x:v>
      </x:c>
    </x:row>
    <x:row r="17" ht="22" customHeight="1">
      <x:c r="A17" s="15" t="str">
        <x:v>Япония</x:v>
      </x:c>
      <x:c r="B17" s="20" t="d">
        <x:v>2017-11-01T00:00:00.000Z</x:v>
      </x:c>
      <x:c r="C17" s="19" t="n">
        <x:v>605785039.6340001</x:v>
      </x:c>
      <x:c r="D17" s="19" t="n">
        <x:v>309916435.68299997</x:v>
      </x:c>
      <x:c r="E17" s="19" t="n">
        <x:v>450007849.995</x:v>
      </x:c>
      <x:c r="F17" s="19" t="n">
        <x:v>157838117.554</x:v>
      </x:c>
      <x:c r="G17" s="19" t="n">
        <x:v>96229139.89899999</x:v>
      </x:c>
      <x:c r="H17" s="19" t="n">
        <x:v>52272542.504999995</x:v>
      </x:c>
      <x:c r="I17" s="19" t="n">
        <x:v>88944543.742</x:v>
      </x:c>
      <x:c r="J17" s="19" t="n">
        <x:v>101254949.363</x:v>
      </x:c>
      <x:c r="K17" s="19" t="n">
        <x:v>378859994.12299997</x:v>
      </x:c>
    </x:row>
    <x:row r="18" ht="22" customHeight="1">
      <x:c r="A18" s="15" t="str">
        <x:v>Япония</x:v>
      </x:c>
      <x:c r="B18" s="20" t="d">
        <x:v>2017-12-01T00:00:00.000Z</x:v>
      </x:c>
      <x:c r="C18" s="19" t="n">
        <x:v>723469704.686</x:v>
      </x:c>
      <x:c r="D18" s="19" t="n">
        <x:v>318813221.787</x:v>
      </x:c>
      <x:c r="E18" s="19" t="n">
        <x:v>432085064.141</x:v>
      </x:c>
      <x:c r="F18" s="19" t="n">
        <x:v>114303550.727</x:v>
      </x:c>
      <x:c r="G18" s="19" t="n">
        <x:v>105076874.13499999</x:v>
      </x:c>
      <x:c r="H18" s="19" t="n">
        <x:v>48689692.322</x:v>
      </x:c>
      <x:c r="I18" s="19" t="n">
        <x:v>98748358.625</x:v>
      </x:c>
      <x:c r="J18" s="19" t="n">
        <x:v>101161046.343</x:v>
      </x:c>
      <x:c r="K18" s="19" t="n">
        <x:v>390846299.912</x:v>
      </x:c>
    </x:row>
    <x:row r="19" ht="22" customHeight="1">
      <x:c r="A19" s="15" t="str">
        <x:v>Япония</x:v>
      </x:c>
      <x:c r="B19" s="20" t="d">
        <x:v>2018-01-01T00:00:00.000Z</x:v>
      </x:c>
      <x:c r="C19" s="19" t="n">
        <x:v>534824448.015</x:v>
      </x:c>
      <x:c r="D19" s="19" t="n">
        <x:v>253228325.305</x:v>
      </x:c>
      <x:c r="E19" s="19" t="n">
        <x:v>458975994.31799996</x:v>
      </x:c>
      <x:c r="F19" s="19" t="n">
        <x:v>103106988.388</x:v>
      </x:c>
      <x:c r="G19" s="19" t="n">
        <x:v>104163549.433</x:v>
      </x:c>
      <x:c r="H19" s="19" t="n">
        <x:v>46773787.704</x:v>
      </x:c>
      <x:c r="I19" s="19" t="n">
        <x:v>73643261.66600001</x:v>
      </x:c>
      <x:c r="J19" s="19" t="n">
        <x:v>92489398.46800001</x:v>
      </x:c>
      <x:c r="K19" s="19" t="n">
        <x:v>322961931.954</x:v>
      </x:c>
    </x:row>
    <x:row r="20" ht="22" customHeight="1">
      <x:c r="A20" s="15" t="str">
        <x:v>Япония</x:v>
      </x:c>
      <x:c r="B20" s="20" t="d">
        <x:v>2018-02-01T00:00:00.000Z</x:v>
      </x:c>
      <x:c r="C20" s="19" t="n">
        <x:v>525364963.34300005</x:v>
      </x:c>
      <x:c r="D20" s="19" t="n">
        <x:v>232242745.155</x:v>
      </x:c>
      <x:c r="E20" s="19" t="n">
        <x:v>457755100.73</x:v>
      </x:c>
      <x:c r="F20" s="19" t="n">
        <x:v>37496495.953999996</x:v>
      </x:c>
      <x:c r="G20" s="19" t="n">
        <x:v>122631638.24199998</x:v>
      </x:c>
      <x:c r="H20" s="19" t="n">
        <x:v>46823173.492</x:v>
      </x:c>
      <x:c r="I20" s="19" t="n">
        <x:v>86944048.076</x:v>
      </x:c>
      <x:c r="J20" s="19" t="n">
        <x:v>97093575.617</x:v>
      </x:c>
      <x:c r="K20" s="19" t="n">
        <x:v>304008368.213</x:v>
      </x:c>
    </x:row>
    <x:row r="21" ht="22" customHeight="1">
      <x:c r="A21" s="15" t="str">
        <x:v>Япония</x:v>
      </x:c>
      <x:c r="B21" s="20" t="d">
        <x:v>2018-03-01T00:00:00.000Z</x:v>
      </x:c>
      <x:c r="C21" s="19" t="n">
        <x:v>643475456.84</x:v>
      </x:c>
      <x:c r="D21" s="19" t="n">
        <x:v>314961268.213</x:v>
      </x:c>
      <x:c r="E21" s="19" t="n">
        <x:v>491522279.103</x:v>
      </x:c>
      <x:c r="F21" s="19" t="n">
        <x:v>48325858.971</x:v>
      </x:c>
      <x:c r="G21" s="19" t="n">
        <x:v>130247265.546</x:v>
      </x:c>
      <x:c r="H21" s="19" t="n">
        <x:v>50912668.136999995</x:v>
      </x:c>
      <x:c r="I21" s="19" t="n">
        <x:v>101063113.273</x:v>
      </x:c>
      <x:c r="J21" s="19" t="n">
        <x:v>107717498.555</x:v>
      </x:c>
      <x:c r="K21" s="19" t="n">
        <x:v>340098900.874</x:v>
      </x:c>
    </x:row>
    <x:row r="22" ht="22" customHeight="1">
      <x:c r="A22" s="15" t="str">
        <x:v>Япония</x:v>
      </x:c>
      <x:c r="B22" s="20" t="d">
        <x:v>2018-04-01T00:00:00.000Z</x:v>
      </x:c>
      <x:c r="C22" s="19" t="n">
        <x:v>606947100.42</x:v>
      </x:c>
      <x:c r="D22" s="19" t="n">
        <x:v>363451067.528</x:v>
      </x:c>
      <x:c r="E22" s="19" t="n">
        <x:v>497902800.559</x:v>
      </x:c>
      <x:c r="F22" s="19" t="n">
        <x:v>55544806.361999996</x:v>
      </x:c>
      <x:c r="G22" s="19" t="n">
        <x:v>124824221.30199999</x:v>
      </x:c>
      <x:c r="H22" s="19" t="n">
        <x:v>47749115.206</x:v>
      </x:c>
      <x:c r="I22" s="19" t="n">
        <x:v>85236426.63</x:v>
      </x:c>
      <x:c r="J22" s="19" t="n">
        <x:v>99731646.24599999</x:v>
      </x:c>
      <x:c r="K22" s="19" t="n">
        <x:v>334812027.95</x:v>
      </x:c>
    </x:row>
    <x:row r="23" ht="22" customHeight="1">
      <x:c r="A23" s="15" t="str">
        <x:v>Япония</x:v>
      </x:c>
      <x:c r="B23" s="20" t="d">
        <x:v>2018-05-01T00:00:00.000Z</x:v>
      </x:c>
      <x:c r="C23" s="19" t="n">
        <x:v>545882343.99</x:v>
      </x:c>
      <x:c r="D23" s="19" t="n">
        <x:v>332126319.728</x:v>
      </x:c>
      <x:c r="E23" s="19" t="n">
        <x:v>468086509.648</x:v>
      </x:c>
      <x:c r="F23" s="19" t="n">
        <x:v>95004685.92999999</x:v>
      </x:c>
      <x:c r="G23" s="19" t="n">
        <x:v>113537520.416</x:v>
      </x:c>
      <x:c r="H23" s="19" t="n">
        <x:v>47531481.108</x:v>
      </x:c>
      <x:c r="I23" s="19" t="n">
        <x:v>85472087.44</x:v>
      </x:c>
      <x:c r="J23" s="19" t="n">
        <x:v>101323820.775</x:v>
      </x:c>
      <x:c r="K23" s="19" t="n">
        <x:v>256917841.29200003</x:v>
      </x:c>
    </x:row>
    <x:row r="24" ht="22" customHeight="1">
      <x:c r="A24" s="15" t="str">
        <x:v>Япония</x:v>
      </x:c>
      <x:c r="B24" s="20" t="d">
        <x:v>2018-06-01T00:00:00.000Z</x:v>
      </x:c>
      <x:c r="C24" s="19" t="n">
        <x:v>725308613.042</x:v>
      </x:c>
      <x:c r="D24" s="19" t="n">
        <x:v>320451997.75</x:v>
      </x:c>
      <x:c r="E24" s="19" t="n">
        <x:v>481623579.281</x:v>
      </x:c>
      <x:c r="F24" s="19" t="n">
        <x:v>85783173.405</x:v>
      </x:c>
      <x:c r="G24" s="19" t="n">
        <x:v>116699058.21</x:v>
      </x:c>
      <x:c r="H24" s="19" t="n">
        <x:v>50835406.246999994</x:v>
      </x:c>
      <x:c r="I24" s="19" t="n">
        <x:v>90825269.011</x:v>
      </x:c>
      <x:c r="J24" s="19" t="n">
        <x:v>99181148.389</x:v>
      </x:c>
      <x:c r="K24" s="19" t="n">
        <x:v>304273961.773</x:v>
      </x:c>
    </x:row>
    <x:row r="25" ht="22" customHeight="1">
      <x:c r="A25" s="15" t="str">
        <x:v>Япония</x:v>
      </x:c>
      <x:c r="B25" s="20" t="d">
        <x:v>2018-07-01T00:00:00.000Z</x:v>
      </x:c>
      <x:c r="C25" s="19" t="n">
        <x:v>643420468.495</x:v>
      </x:c>
      <x:c r="D25" s="19" t="n">
        <x:v>370194726.362</x:v>
      </x:c>
      <x:c r="E25" s="19" t="n">
        <x:v>516678116.925</x:v>
      </x:c>
      <x:c r="F25" s="19" t="n">
        <x:v>122555012.93100001</x:v>
      </x:c>
      <x:c r="G25" s="19" t="n">
        <x:v>124420223.786</x:v>
      </x:c>
      <x:c r="H25" s="19" t="n">
        <x:v>50945524.117</x:v>
      </x:c>
      <x:c r="I25" s="19" t="n">
        <x:v>89488242.86000001</x:v>
      </x:c>
      <x:c r="J25" s="19" t="n">
        <x:v>87413183.555</x:v>
      </x:c>
      <x:c r="K25" s="19" t="n">
        <x:v>308032716.889</x:v>
      </x:c>
    </x:row>
    <x:row r="26" ht="22" customHeight="1">
      <x:c r="A26" s="15" t="str">
        <x:v>Япония</x:v>
      </x:c>
      <x:c r="B26" s="20" t="d">
        <x:v>2018-08-01T00:00:00.000Z</x:v>
      </x:c>
      <x:c r="C26" s="19" t="n">
        <x:v>566513352.5139999</x:v>
      </x:c>
      <x:c r="D26" s="19" t="n">
        <x:v>455623087.099</x:v>
      </x:c>
      <x:c r="E26" s="19" t="n">
        <x:v>507176876.13600004</x:v>
      </x:c>
      <x:c r="F26" s="19" t="n">
        <x:v>144568289.575</x:v>
      </x:c>
      <x:c r="G26" s="19" t="n">
        <x:v>138803029.176</x:v>
      </x:c>
      <x:c r="H26" s="19" t="n">
        <x:v>48328717.066</x:v>
      </x:c>
      <x:c r="I26" s="19" t="n">
        <x:v>88121205.609</x:v>
      </x:c>
      <x:c r="J26" s="19" t="n">
        <x:v>92029108.151</x:v>
      </x:c>
      <x:c r="K26" s="19" t="n">
        <x:v>312377580.286</x:v>
      </x:c>
    </x:row>
    <x:row r="27" ht="22" customHeight="1">
      <x:c r="A27" s="15" t="str">
        <x:v>Япония</x:v>
      </x:c>
      <x:c r="B27" s="20" t="d">
        <x:v>2018-09-01T00:00:00.000Z</x:v>
      </x:c>
      <x:c r="C27" s="19" t="n">
        <x:v>465288445.947</x:v>
      </x:c>
      <x:c r="D27" s="19" t="n">
        <x:v>444730175.71800005</x:v>
      </x:c>
      <x:c r="E27" s="19" t="n">
        <x:v>423378901.55</x:v>
      </x:c>
      <x:c r="F27" s="19" t="n">
        <x:v>147247648.231</x:v>
      </x:c>
      <x:c r="G27" s="19" t="n">
        <x:v>129697904.916</x:v>
      </x:c>
      <x:c r="H27" s="19" t="n">
        <x:v>41934458.088</x:v>
      </x:c>
      <x:c r="I27" s="19" t="n">
        <x:v>86648708.79100001</x:v>
      </x:c>
      <x:c r="J27" s="19" t="n">
        <x:v>90973882.72500001</x:v>
      </x:c>
      <x:c r="K27" s="19" t="n">
        <x:v>342075371.96099997</x:v>
      </x:c>
    </x:row>
    <x:row r="28" ht="22" customHeight="1">
      <x:c r="A28" s="15" t="str">
        <x:v>Япония</x:v>
      </x:c>
      <x:c r="B28" s="20" t="d">
        <x:v>2018-10-01T00:00:00.000Z</x:v>
      </x:c>
      <x:c r="C28" s="19" t="n">
        <x:v>712656851.9169999</x:v>
      </x:c>
      <x:c r="D28" s="19" t="n">
        <x:v>448661770.365</x:v>
      </x:c>
      <x:c r="E28" s="19" t="n">
        <x:v>404339375.869</x:v>
      </x:c>
      <x:c r="F28" s="19" t="n">
        <x:v>148998372.058</x:v>
      </x:c>
      <x:c r="G28" s="19" t="n">
        <x:v>127522486.002</x:v>
      </x:c>
      <x:c r="H28" s="19" t="n">
        <x:v>60317697.467</x:v>
      </x:c>
      <x:c r="I28" s="19" t="n">
        <x:v>81756066.357</x:v>
      </x:c>
      <x:c r="J28" s="19" t="n">
        <x:v>98249511.451</x:v>
      </x:c>
      <x:c r="K28" s="19" t="n">
        <x:v>329671517.77</x:v>
      </x:c>
    </x:row>
    <x:row r="29" ht="22" customHeight="1">
      <x:c r="A29" s="15" t="str">
        <x:v>Япония</x:v>
      </x:c>
      <x:c r="B29" s="20" t="d">
        <x:v>2018-11-01T00:00:00.000Z</x:v>
      </x:c>
      <x:c r="C29" s="19" t="n">
        <x:v>650799160.0669999</x:v>
      </x:c>
      <x:c r="D29" s="19" t="n">
        <x:v>370443028.64100003</x:v>
      </x:c>
      <x:c r="E29" s="19" t="n">
        <x:v>464177994.099</x:v>
      </x:c>
      <x:c r="F29" s="19" t="n">
        <x:v>126577395.857</x:v>
      </x:c>
      <x:c r="G29" s="19" t="n">
        <x:v>123030382.82300001</x:v>
      </x:c>
      <x:c r="H29" s="19" t="n">
        <x:v>61385842.864999995</x:v>
      </x:c>
      <x:c r="I29" s="19" t="n">
        <x:v>76299282.288</x:v>
      </x:c>
      <x:c r="J29" s="19" t="n">
        <x:v>94185356.993</x:v>
      </x:c>
      <x:c r="K29" s="19" t="n">
        <x:v>292672501.442</x:v>
      </x:c>
    </x:row>
    <x:row r="30" ht="22" customHeight="1">
      <x:c r="A30" s="15" t="str">
        <x:v>Япония</x:v>
      </x:c>
      <x:c r="B30" s="20" t="d">
        <x:v>2018-12-01T00:00:00.000Z</x:v>
      </x:c>
      <x:c r="C30" s="19" t="n">
        <x:v>648401317.278</x:v>
      </x:c>
      <x:c r="D30" s="19" t="n">
        <x:v>360020845.829</x:v>
      </x:c>
      <x:c r="E30" s="19" t="n">
        <x:v>415192491.58599997</x:v>
      </x:c>
      <x:c r="F30" s="19" t="n">
        <x:v>70669962.4</x:v>
      </x:c>
      <x:c r="G30" s="19" t="n">
        <x:v>120878020.43399999</x:v>
      </x:c>
      <x:c r="H30" s="19" t="n">
        <x:v>50107563.072</x:v>
      </x:c>
      <x:c r="I30" s="19" t="n">
        <x:v>85313436.715</x:v>
      </x:c>
      <x:c r="J30" s="19" t="n">
        <x:v>91574922.256</x:v>
      </x:c>
      <x:c r="K30" s="19" t="n">
        <x:v>269294743.129</x:v>
      </x:c>
    </x:row>
    <x:row r="31" ht="22" customHeight="1">
      <x:c r="A31" s="15" t="str">
        <x:v>Япония</x:v>
      </x:c>
      <x:c r="B31" s="20" t="d">
        <x:v>2019-01-01T00:00:00.000Z</x:v>
      </x:c>
      <x:c r="C31" s="19" t="n">
        <x:v>553628370.748</x:v>
      </x:c>
      <x:c r="D31" s="19" t="n">
        <x:v>335937157.64100003</x:v>
      </x:c>
      <x:c r="E31" s="19" t="n">
        <x:v>374186308.21699995</x:v>
      </x:c>
      <x:c r="F31" s="19" t="n">
        <x:v>71856899.422</x:v>
      </x:c>
      <x:c r="G31" s="19" t="n">
        <x:v>106656923.16</x:v>
      </x:c>
      <x:c r="H31" s="19" t="n">
        <x:v>52583331.088</x:v>
      </x:c>
      <x:c r="I31" s="19" t="n">
        <x:v>69378667.22600001</x:v>
      </x:c>
      <x:c r="J31" s="19" t="n">
        <x:v>87308034.31</x:v>
      </x:c>
      <x:c r="K31" s="19" t="n">
        <x:v>271610280.60899997</x:v>
      </x:c>
    </x:row>
    <x:row r="32" ht="22" customHeight="1">
      <x:c r="A32" s="15" t="str">
        <x:v>Япония</x:v>
      </x:c>
      <x:c r="B32" s="20" t="d">
        <x:v>2019-02-01T00:00:00.000Z</x:v>
      </x:c>
      <x:c r="C32" s="19" t="n">
        <x:v>387793088.84000003</x:v>
      </x:c>
      <x:c r="D32" s="19" t="n">
        <x:v>341353344.034</x:v>
      </x:c>
      <x:c r="E32" s="19" t="n">
        <x:v>376688253.001</x:v>
      </x:c>
      <x:c r="F32" s="19" t="n">
        <x:v>41495335.894999996</x:v>
      </x:c>
      <x:c r="G32" s="19" t="n">
        <x:v>69585193.48200001</x:v>
      </x:c>
      <x:c r="H32" s="19" t="n">
        <x:v>47072452.977</x:v>
      </x:c>
      <x:c r="I32" s="19" t="n">
        <x:v>77166155.282</x:v>
      </x:c>
      <x:c r="J32" s="19" t="n">
        <x:v>78253806.528</x:v>
      </x:c>
      <x:c r="K32" s="19" t="n">
        <x:v>243307583.516</x:v>
      </x:c>
    </x:row>
    <x:row r="33" ht="22" customHeight="1">
      <x:c r="A33" s="15" t="str">
        <x:v>Япония</x:v>
      </x:c>
      <x:c r="B33" s="20" t="d">
        <x:v>2019-03-01T00:00:00.000Z</x:v>
      </x:c>
      <x:c r="C33" s="19" t="n">
        <x:v>476040417.905</x:v>
      </x:c>
      <x:c r="D33" s="19" t="n">
        <x:v>424367058.166</x:v>
      </x:c>
      <x:c r="E33" s="19" t="n">
        <x:v>413907587.20199996</x:v>
      </x:c>
      <x:c r="F33" s="19" t="n">
        <x:v>74395126.94</x:v>
      </x:c>
      <x:c r="G33" s="19" t="n">
        <x:v>76781445.874</x:v>
      </x:c>
      <x:c r="H33" s="19" t="n">
        <x:v>45140007.62899999</x:v>
      </x:c>
      <x:c r="I33" s="19" t="n">
        <x:v>86840686.65799999</x:v>
      </x:c>
      <x:c r="J33" s="19" t="n">
        <x:v>90582426.979</x:v>
      </x:c>
      <x:c r="K33" s="19" t="n">
        <x:v>295732514.06</x:v>
      </x:c>
    </x:row>
    <x:row r="34" ht="22" customHeight="1">
      <x:c r="A34" s="15" t="str">
        <x:v>Япония</x:v>
      </x:c>
      <x:c r="B34" s="20" t="d">
        <x:v>2019-04-01T00:00:00.000Z</x:v>
      </x:c>
      <x:c r="C34" s="19" t="n">
        <x:v>403525009.645</x:v>
      </x:c>
      <x:c r="D34" s="19" t="n">
        <x:v>459669322.775</x:v>
      </x:c>
      <x:c r="E34" s="19" t="n">
        <x:v>472428573.296</x:v>
      </x:c>
      <x:c r="F34" s="19" t="n">
        <x:v>73394283.009</x:v>
      </x:c>
      <x:c r="G34" s="19" t="n">
        <x:v>72488985.524</x:v>
      </x:c>
      <x:c r="H34" s="19" t="n">
        <x:v>48182443.442</x:v>
      </x:c>
      <x:c r="I34" s="19" t="n">
        <x:v>80671911.54100001</x:v>
      </x:c>
      <x:c r="J34" s="19" t="n">
        <x:v>83145935.204</x:v>
      </x:c>
      <x:c r="K34" s="19" t="n">
        <x:v>279424288.12299997</x:v>
      </x:c>
    </x:row>
    <x:row r="35" ht="22" customHeight="1">
      <x:c r="A35" s="15" t="str">
        <x:v>Япония</x:v>
      </x:c>
      <x:c r="B35" s="20" t="d">
        <x:v>2019-05-01T00:00:00.000Z</x:v>
      </x:c>
      <x:c r="C35" s="19" t="n">
        <x:v>540330447.015</x:v>
      </x:c>
      <x:c r="D35" s="19" t="n">
        <x:v>420137875.781</x:v>
      </x:c>
      <x:c r="E35" s="19" t="n">
        <x:v>511350482.229</x:v>
      </x:c>
      <x:c r="F35" s="19" t="n">
        <x:v>88960095.61299999</x:v>
      </x:c>
      <x:c r="G35" s="19" t="n">
        <x:v>44259453.837</x:v>
      </x:c>
      <x:c r="H35" s="19" t="n">
        <x:v>48453843.373</x:v>
      </x:c>
      <x:c r="I35" s="19" t="n">
        <x:v>74944645.59200001</x:v>
      </x:c>
      <x:c r="J35" s="19" t="n">
        <x:v>82464002.413</x:v>
      </x:c>
      <x:c r="K35" s="19" t="n">
        <x:v>242644553.406</x:v>
      </x:c>
    </x:row>
    <x:row r="36" ht="22" customHeight="1">
      <x:c r="A36" s="15" t="str">
        <x:v>Япония</x:v>
      </x:c>
      <x:c r="B36" s="20" t="d">
        <x:v>2019-06-01T00:00:00.000Z</x:v>
      </x:c>
      <x:c r="C36" s="19" t="n">
        <x:v>561463877.239</x:v>
      </x:c>
      <x:c r="D36" s="19" t="n">
        <x:v>487464046.829</x:v>
      </x:c>
      <x:c r="E36" s="19" t="n">
        <x:v>448226387.93900007</x:v>
      </x:c>
      <x:c r="F36" s="19" t="n">
        <x:v>88515818.74700001</x:v>
      </x:c>
      <x:c r="G36" s="19" t="n">
        <x:v>48959874.311000004</x:v>
      </x:c>
      <x:c r="H36" s="19" t="n">
        <x:v>49967989.850999996</x:v>
      </x:c>
      <x:c r="I36" s="19" t="n">
        <x:v>84036638.886</x:v>
      </x:c>
      <x:c r="J36" s="19" t="n">
        <x:v>93028147.761</x:v>
      </x:c>
      <x:c r="K36" s="19" t="n">
        <x:v>269941440.372</x:v>
      </x:c>
    </x:row>
    <x:row r="37" ht="22" customHeight="1">
      <x:c r="A37" s="15" t="str">
        <x:v>Япония</x:v>
      </x:c>
      <x:c r="B37" s="20" t="d">
        <x:v>2019-07-01T00:00:00.000Z</x:v>
      </x:c>
      <x:c r="C37" s="19" t="n">
        <x:v>505620955.355</x:v>
      </x:c>
      <x:c r="D37" s="19" t="n">
        <x:v>487665303.614</x:v>
      </x:c>
      <x:c r="E37" s="19" t="n">
        <x:v>522593713.168</x:v>
      </x:c>
      <x:c r="F37" s="19" t="n">
        <x:v>109955766.789</x:v>
      </x:c>
      <x:c r="G37" s="19" t="n">
        <x:v>53718452.68</x:v>
      </x:c>
      <x:c r="H37" s="19" t="n">
        <x:v>53787502.574</x:v>
      </x:c>
      <x:c r="I37" s="19" t="n">
        <x:v>79022153.229</x:v>
      </x:c>
      <x:c r="J37" s="19" t="n">
        <x:v>90817342.28</x:v>
      </x:c>
      <x:c r="K37" s="19" t="n">
        <x:v>307730859.529</x:v>
      </x:c>
    </x:row>
    <x:row r="38" ht="22" customHeight="1">
      <x:c r="A38" s="15" t="str">
        <x:v>Япония</x:v>
      </x:c>
      <x:c r="B38" s="20" t="d">
        <x:v>2019-08-01T00:00:00.000Z</x:v>
      </x:c>
      <x:c r="C38" s="19" t="n">
        <x:v>576809063.721</x:v>
      </x:c>
      <x:c r="D38" s="19" t="n">
        <x:v>513340546.206</x:v>
      </x:c>
      <x:c r="E38" s="19" t="n">
        <x:v>525103586.90199995</x:v>
      </x:c>
      <x:c r="F38" s="19" t="n">
        <x:v>177469032.583</x:v>
      </x:c>
      <x:c r="G38" s="19" t="n">
        <x:v>63960167.019999996</x:v>
      </x:c>
      <x:c r="H38" s="19" t="n">
        <x:v>54775686.785</x:v>
      </x:c>
      <x:c r="I38" s="19" t="n">
        <x:v>78179902.63499999</x:v>
      </x:c>
      <x:c r="J38" s="19" t="n">
        <x:v>109878202.072</x:v>
      </x:c>
      <x:c r="K38" s="19" t="n">
        <x:v>346870445.789</x:v>
      </x:c>
    </x:row>
    <x:row r="39" ht="22" customHeight="1">
      <x:c r="A39" s="15" t="str">
        <x:v>Япония</x:v>
      </x:c>
      <x:c r="B39" s="20" t="d">
        <x:v>2019-09-01T00:00:00.000Z</x:v>
      </x:c>
      <x:c r="C39" s="19" t="n">
        <x:v>620027819.513</x:v>
      </x:c>
      <x:c r="D39" s="19" t="n">
        <x:v>462992404.513</x:v>
      </x:c>
      <x:c r="E39" s="19" t="n">
        <x:v>516205133.993</x:v>
      </x:c>
      <x:c r="F39" s="19" t="n">
        <x:v>188073436.20299998</x:v>
      </x:c>
      <x:c r="G39" s="19" t="n">
        <x:v>89176809.614</x:v>
      </x:c>
      <x:c r="H39" s="19" t="n">
        <x:v>57463811.977</x:v>
      </x:c>
      <x:c r="I39" s="19" t="n">
        <x:v>75340816.117</x:v>
      </x:c>
      <x:c r="J39" s="19" t="n">
        <x:v>100705334.18599999</x:v>
      </x:c>
      <x:c r="K39" s="19" t="n">
        <x:v>359038488.054</x:v>
      </x:c>
    </x:row>
    <x:row r="40" ht="22" customHeight="1">
      <x:c r="A40" s="15" t="str">
        <x:v>Япония</x:v>
      </x:c>
      <x:c r="B40" s="20" t="d">
        <x:v>2019-10-01T00:00:00.000Z</x:v>
      </x:c>
      <x:c r="C40" s="19" t="n">
        <x:v>642369114.2579999</x:v>
      </x:c>
      <x:c r="D40" s="19" t="n">
        <x:v>454502083.56</x:v>
      </x:c>
      <x:c r="E40" s="19" t="n">
        <x:v>606184067.819</x:v>
      </x:c>
      <x:c r="F40" s="19" t="n">
        <x:v>188836765.094</x:v>
      </x:c>
      <x:c r="G40" s="19" t="n">
        <x:v>101109842.131</x:v>
      </x:c>
      <x:c r="H40" s="19" t="n">
        <x:v>63206888.519999996</x:v>
      </x:c>
      <x:c r="I40" s="19" t="n">
        <x:v>76007103.22600001</x:v>
      </x:c>
      <x:c r="J40" s="19" t="n">
        <x:v>115562409.297</x:v>
      </x:c>
      <x:c r="K40" s="19" t="n">
        <x:v>358673622.612</x:v>
      </x:c>
    </x:row>
    <x:row r="41" ht="22" customHeight="1">
      <x:c r="A41" s="15" t="str">
        <x:v>Япония</x:v>
      </x:c>
      <x:c r="B41" s="20" t="d">
        <x:v>2019-11-01T00:00:00.000Z</x:v>
      </x:c>
      <x:c r="C41" s="19" t="n">
        <x:v>561324924.519</x:v>
      </x:c>
      <x:c r="D41" s="19" t="n">
        <x:v>422992724.618</x:v>
      </x:c>
      <x:c r="E41" s="19" t="n">
        <x:v>569401017.4840001</x:v>
      </x:c>
      <x:c r="F41" s="19" t="n">
        <x:v>148037913.06100002</x:v>
      </x:c>
      <x:c r="G41" s="19" t="n">
        <x:v>83890750.461</x:v>
      </x:c>
      <x:c r="H41" s="19" t="n">
        <x:v>59379338.713</x:v>
      </x:c>
      <x:c r="I41" s="19" t="n">
        <x:v>65002839.128</x:v>
      </x:c>
      <x:c r="J41" s="19" t="n">
        <x:v>102320545.972</x:v>
      </x:c>
      <x:c r="K41" s="19" t="n">
        <x:v>312100136.707</x:v>
      </x:c>
    </x:row>
    <x:row r="42" ht="22" customHeight="1">
      <x:c r="A42" s="15" t="str">
        <x:v>Япония</x:v>
      </x:c>
      <x:c r="B42" s="20" t="d">
        <x:v>2019-12-01T00:00:00.000Z</x:v>
      </x:c>
      <x:c r="C42" s="19" t="n">
        <x:v>554658018.55</x:v>
      </x:c>
      <x:c r="D42" s="19" t="n">
        <x:v>376413695.298</x:v>
      </x:c>
      <x:c r="E42" s="19" t="n">
        <x:v>513164228.01</x:v>
      </x:c>
      <x:c r="F42" s="19" t="n">
        <x:v>138596827.825</x:v>
      </x:c>
      <x:c r="G42" s="19" t="n">
        <x:v>93196200.898</x:v>
      </x:c>
      <x:c r="H42" s="19" t="n">
        <x:v>55780856.214</x:v>
      </x:c>
      <x:c r="I42" s="19" t="n">
        <x:v>73106514.387</x:v>
      </x:c>
      <x:c r="J42" s="19" t="n">
        <x:v>88271828.08399999</x:v>
      </x:c>
      <x:c r="K42" s="19" t="n">
        <x:v>368697965.99</x:v>
      </x:c>
    </x:row>
    <x:row r="43" ht="22" customHeight="1">
      <x:c r="A43" s="15" t="str">
        <x:v>Япония</x:v>
      </x:c>
      <x:c r="B43" s="20" t="d">
        <x:v>2020-01-01T00:00:00.000Z</x:v>
      </x:c>
      <x:c r="C43" s="19" t="n">
        <x:v>496713130.536</x:v>
      </x:c>
      <x:c r="D43" s="19" t="n">
        <x:v>332918463.326</x:v>
      </x:c>
      <x:c r="E43" s="19" t="n">
        <x:v>465391842.06</x:v>
      </x:c>
      <x:c r="F43" s="19" t="n">
        <x:v>116717808.244</x:v>
      </x:c>
      <x:c r="G43" s="19" t="n">
        <x:v>64847676.947</x:v>
      </x:c>
      <x:c r="H43" s="19" t="n">
        <x:v>58988922.888</x:v>
      </x:c>
      <x:c r="I43" s="19" t="n">
        <x:v>67035931.054000005</x:v>
      </x:c>
      <x:c r="J43" s="19" t="n">
        <x:v>90695360.852</x:v>
      </x:c>
      <x:c r="K43" s="19" t="n">
        <x:v>305600822.564</x:v>
      </x:c>
    </x:row>
    <x:row r="44" ht="22" customHeight="1">
      <x:c r="A44" s="15" t="str">
        <x:v>Япония</x:v>
      </x:c>
      <x:c r="B44" s="20" t="d">
        <x:v>2020-02-01T00:00:00.000Z</x:v>
      </x:c>
      <x:c r="C44" s="19" t="n">
        <x:v>492394851.73899996</x:v>
      </x:c>
      <x:c r="D44" s="19" t="n">
        <x:v>352602096.227</x:v>
      </x:c>
      <x:c r="E44" s="19" t="n">
        <x:v>488854511.70600003</x:v>
      </x:c>
      <x:c r="F44" s="19" t="n">
        <x:v>137398390.333</x:v>
      </x:c>
      <x:c r="G44" s="19" t="n">
        <x:v>55946627.468</x:v>
      </x:c>
      <x:c r="H44" s="19" t="n">
        <x:v>58860071.69</x:v>
      </x:c>
      <x:c r="I44" s="19" t="n">
        <x:v>68159465.715</x:v>
      </x:c>
      <x:c r="J44" s="19" t="n">
        <x:v>92746480.90799999</x:v>
      </x:c>
      <x:c r="K44" s="19" t="n">
        <x:v>278030028.856</x:v>
      </x:c>
    </x:row>
    <x:row r="45" ht="22" customHeight="1">
      <x:c r="A45" s="15" t="str">
        <x:v>Япония</x:v>
      </x:c>
      <x:c r="B45" s="20" t="d">
        <x:v>2020-03-01T00:00:00.000Z</x:v>
      </x:c>
      <x:c r="C45" s="19" t="n">
        <x:v>579087674.2409999</x:v>
      </x:c>
      <x:c r="D45" s="19" t="n">
        <x:v>317865698.167</x:v>
      </x:c>
      <x:c r="E45" s="19" t="n">
        <x:v>551053017.623</x:v>
      </x:c>
      <x:c r="F45" s="19" t="n">
        <x:v>108557420.725</x:v>
      </x:c>
      <x:c r="G45" s="19" t="n">
        <x:v>104502604.94999999</x:v>
      </x:c>
      <x:c r="H45" s="19" t="n">
        <x:v>48505980.577</x:v>
      </x:c>
      <x:c r="I45" s="19" t="n">
        <x:v>77519350.47799999</x:v>
      </x:c>
      <x:c r="J45" s="19" t="n">
        <x:v>89244924.458</x:v>
      </x:c>
      <x:c r="K45" s="19" t="n">
        <x:v>303735352.144</x:v>
      </x:c>
    </x:row>
    <x:row r="46" ht="22" customHeight="1">
      <x:c r="A46" s="15" t="str">
        <x:v>Япония</x:v>
      </x:c>
      <x:c r="B46" s="20" t="d">
        <x:v>2020-04-01T00:00:00.000Z</x:v>
      </x:c>
      <x:c r="C46" s="19" t="n">
        <x:v>585477746.2279999</x:v>
      </x:c>
      <x:c r="D46" s="19" t="n">
        <x:v>324944861.28099996</x:v>
      </x:c>
      <x:c r="E46" s="19" t="n">
        <x:v>547877699.7260001</x:v>
      </x:c>
      <x:c r="F46" s="19" t="n">
        <x:v>113023450.799</x:v>
      </x:c>
      <x:c r="G46" s="19" t="n">
        <x:v>94363328.341</x:v>
      </x:c>
      <x:c r="H46" s="19" t="n">
        <x:v>58834586.305999994</x:v>
      </x:c>
      <x:c r="I46" s="19" t="n">
        <x:v>57628184.596</x:v>
      </x:c>
      <x:c r="J46" s="19" t="n">
        <x:v>87947043.139</x:v>
      </x:c>
      <x:c r="K46" s="19" t="n">
        <x:v>257941817.924</x:v>
      </x:c>
    </x:row>
    <x:row r="47" ht="22" customHeight="1">
      <x:c r="A47" s="15" t="str">
        <x:v>Япония</x:v>
      </x:c>
      <x:c r="B47" s="20" t="d">
        <x:v>2020-05-01T00:00:00.000Z</x:v>
      </x:c>
      <x:c r="C47" s="19" t="n">
        <x:v>575657463.335</x:v>
      </x:c>
      <x:c r="D47" s="19" t="n">
        <x:v>298085595.489</x:v>
      </x:c>
      <x:c r="E47" s="19" t="n">
        <x:v>536632193.441</x:v>
      </x:c>
      <x:c r="F47" s="19" t="n">
        <x:v>105408865.572</x:v>
      </x:c>
      <x:c r="G47" s="19" t="n">
        <x:v>94826012.13999999</x:v>
      </x:c>
      <x:c r="H47" s="19" t="n">
        <x:v>59569046.443</x:v>
      </x:c>
      <x:c r="I47" s="19" t="n">
        <x:v>39664396.312</x:v>
      </x:c>
      <x:c r="J47" s="19" t="n">
        <x:v>63007623.556</x:v>
      </x:c>
      <x:c r="K47" s="19" t="n">
        <x:v>194827388.959</x:v>
      </x:c>
    </x:row>
    <x:row r="48" ht="22" customHeight="1">
      <x:c r="A48" s="15" t="str">
        <x:v>Япония</x:v>
      </x:c>
      <x:c r="B48" s="20" t="d">
        <x:v>2020-06-01T00:00:00.000Z</x:v>
      </x:c>
      <x:c r="C48" s="19" t="n">
        <x:v>557683073.451</x:v>
      </x:c>
      <x:c r="D48" s="19" t="n">
        <x:v>306774572.785</x:v>
      </x:c>
      <x:c r="E48" s="19" t="n">
        <x:v>506060602.966</x:v>
      </x:c>
      <x:c r="F48" s="19" t="n">
        <x:v>124937589.574</x:v>
      </x:c>
      <x:c r="G48" s="19" t="n">
        <x:v>63960676.616</x:v>
      </x:c>
      <x:c r="H48" s="19" t="n">
        <x:v>56050275.377000004</x:v>
      </x:c>
      <x:c r="I48" s="19" t="n">
        <x:v>45635074.285000004</x:v>
      </x:c>
      <x:c r="J48" s="19" t="n">
        <x:v>65601788.931</x:v>
      </x:c>
      <x:c r="K48" s="19" t="n">
        <x:v>237814216.956</x:v>
      </x:c>
    </x:row>
    <x:row r="49" ht="22" customHeight="1">
      <x:c r="A49" s="15" t="str">
        <x:v>Япония</x:v>
      </x:c>
      <x:c r="B49" s="20" t="d">
        <x:v>2020-07-01T00:00:00.000Z</x:v>
      </x:c>
      <x:c r="C49" s="19" t="n">
        <x:v>629147034.7049999</x:v>
      </x:c>
      <x:c r="D49" s="19" t="n">
        <x:v>299724691.92</x:v>
      </x:c>
      <x:c r="E49" s="19" t="n">
        <x:v>558974515.838</x:v>
      </x:c>
      <x:c r="F49" s="19" t="n">
        <x:v>133728737.529</x:v>
      </x:c>
      <x:c r="G49" s="19" t="n">
        <x:v>68804453.608</x:v>
      </x:c>
      <x:c r="H49" s="19" t="n">
        <x:v>55201010.029</x:v>
      </x:c>
      <x:c r="I49" s="19" t="n">
        <x:v>59609055.772</x:v>
      </x:c>
      <x:c r="J49" s="19" t="n">
        <x:v>80802047.307</x:v>
      </x:c>
      <x:c r="K49" s="19" t="n">
        <x:v>300334650.58000004</x:v>
      </x:c>
    </x:row>
    <x:row r="50" ht="22" customHeight="1">
      <x:c r="A50" s="15" t="str">
        <x:v>Япония</x:v>
      </x:c>
      <x:c r="B50" s="20" t="d">
        <x:v>2020-08-01T00:00:00.000Z</x:v>
      </x:c>
      <x:c r="C50" s="19" t="n">
        <x:v>629838453.914</x:v>
      </x:c>
      <x:c r="D50" s="19" t="n">
        <x:v>342453135.196</x:v>
      </x:c>
      <x:c r="E50" s="19" t="n">
        <x:v>630044514.744</x:v>
      </x:c>
      <x:c r="F50" s="19" t="n">
        <x:v>163636393.177</x:v>
      </x:c>
      <x:c r="G50" s="19" t="n">
        <x:v>69628992.652</x:v>
      </x:c>
      <x:c r="H50" s="19" t="n">
        <x:v>55291210.144</x:v>
      </x:c>
      <x:c r="I50" s="19" t="n">
        <x:v>62560929.844</x:v>
      </x:c>
      <x:c r="J50" s="19" t="n">
        <x:v>83305562.348</x:v>
      </x:c>
      <x:c r="K50" s="19" t="n">
        <x:v>346632744.02199996</x:v>
      </x:c>
    </x:row>
    <x:row r="51" ht="22" customHeight="1">
      <x:c r="A51" s="15" t="str">
        <x:v>Япония</x:v>
      </x:c>
      <x:c r="B51" s="20" t="d">
        <x:v>2020-09-01T00:00:00.000Z</x:v>
      </x:c>
      <x:c r="C51" s="19" t="n">
        <x:v>449166096.0170001</x:v>
      </x:c>
      <x:c r="D51" s="19" t="n">
        <x:v>405577770.19299996</x:v>
      </x:c>
      <x:c r="E51" s="19" t="n">
        <x:v>638779224.7689999</x:v>
      </x:c>
      <x:c r="F51" s="19" t="n">
        <x:v>192503934.751</x:v>
      </x:c>
      <x:c r="G51" s="19" t="n">
        <x:v>144957602.935</x:v>
      </x:c>
      <x:c r="H51" s="19" t="n">
        <x:v>52475114.839</x:v>
      </x:c>
      <x:c r="I51" s="19" t="n">
        <x:v>73272774.684</x:v>
      </x:c>
      <x:c r="J51" s="19" t="n">
        <x:v>92855094.57800001</x:v>
      </x:c>
      <x:c r="K51" s="19" t="n">
        <x:v>478870679.123</x:v>
      </x:c>
    </x:row>
    <x:row r="52" ht="22" customHeight="1">
      <x:c r="A52" s="15" t="str">
        <x:v>Япония</x:v>
      </x:c>
      <x:c r="B52" s="20" t="d">
        <x:v>2020-10-01T00:00:00.000Z</x:v>
      </x:c>
      <x:c r="C52" s="19" t="n">
        <x:v>464279002.384</x:v>
      </x:c>
      <x:c r="D52" s="19" t="n">
        <x:v>295636961.079</x:v>
      </x:c>
      <x:c r="E52" s="19" t="n">
        <x:v>657251604.9300001</x:v>
      </x:c>
      <x:c r="F52" s="19" t="n">
        <x:v>216142165.73000002</x:v>
      </x:c>
      <x:c r="G52" s="19" t="n">
        <x:v>128635445.015</x:v>
      </x:c>
      <x:c r="H52" s="19" t="n">
        <x:v>63416963.716</x:v>
      </x:c>
      <x:c r="I52" s="19" t="n">
        <x:v>69395472.205</x:v>
      </x:c>
      <x:c r="J52" s="19" t="n">
        <x:v>108879632.19999999</x:v>
      </x:c>
      <x:c r="K52" s="19" t="n">
        <x:v>464492369.496</x:v>
      </x:c>
    </x:row>
    <x:row r="53" ht="22" customHeight="1">
      <x:c r="A53" s="15" t="str">
        <x:v>Япония</x:v>
      </x:c>
      <x:c r="B53" s="20" t="d">
        <x:v>2020-11-01T00:00:00.000Z</x:v>
      </x:c>
      <x:c r="C53" s="19" t="n">
        <x:v>428728104.181</x:v>
      </x:c>
      <x:c r="D53" s="19" t="n">
        <x:v>311198073.82000005</x:v>
      </x:c>
      <x:c r="E53" s="19" t="n">
        <x:v>580727007.325</x:v>
      </x:c>
      <x:c r="F53" s="19" t="n">
        <x:v>222393376.136</x:v>
      </x:c>
      <x:c r="G53" s="19" t="n">
        <x:v>122660689.849</x:v>
      </x:c>
      <x:c r="H53" s="19" t="n">
        <x:v>57205909.559</x:v>
      </x:c>
      <x:c r="I53" s="19" t="n">
        <x:v>64074115.903</x:v>
      </x:c>
      <x:c r="J53" s="19" t="n">
        <x:v>91384568.751</x:v>
      </x:c>
      <x:c r="K53" s="19" t="n">
        <x:v>388923940.01699996</x:v>
      </x:c>
    </x:row>
    <x:row r="54" ht="22" customHeight="1">
      <x:c r="A54" s="15" t="str">
        <x:v>Япония</x:v>
      </x:c>
      <x:c r="B54" s="20" t="d">
        <x:v>2020-12-01T00:00:00.000Z</x:v>
      </x:c>
      <x:c r="C54" s="19" t="n">
        <x:v>490253565.617</x:v>
      </x:c>
      <x:c r="D54" s="19" t="n">
        <x:v>446698833.465</x:v>
      </x:c>
      <x:c r="E54" s="19" t="n">
        <x:v>554211224.048</x:v>
      </x:c>
      <x:c r="F54" s="19" t="n">
        <x:v>157936915.285</x:v>
      </x:c>
      <x:c r="G54" s="19" t="n">
        <x:v>99068656.603</x:v>
      </x:c>
      <x:c r="H54" s="19" t="n">
        <x:v>62098806.796000004</x:v>
      </x:c>
      <x:c r="I54" s="19" t="n">
        <x:v>77803279.914</x:v>
      </x:c>
      <x:c r="J54" s="19" t="n">
        <x:v>95899818.66</x:v>
      </x:c>
      <x:c r="K54" s="19" t="n">
        <x:v>425647772.32199997</x:v>
      </x:c>
    </x:row>
    <x:row r="55" ht="22" customHeight="1">
      <x:c r="A55" s="15" t="str">
        <x:v>Япония</x:v>
      </x:c>
      <x:c r="B55" s="20" t="d">
        <x:v>2021-01-01T00:00:00.000Z</x:v>
      </x:c>
      <x:c r="C55" s="19" t="n">
        <x:v>574018038.631</x:v>
      </x:c>
      <x:c r="D55" s="19" t="n">
        <x:v>335834643.25799996</x:v>
      </x:c>
      <x:c r="E55" s="19" t="n">
        <x:v>640945309.3859999</x:v>
      </x:c>
      <x:c r="F55" s="19" t="n">
        <x:v>103518621.235</x:v>
      </x:c>
      <x:c r="G55" s="19" t="n">
        <x:v>102043542.297</x:v>
      </x:c>
      <x:c r="H55" s="19" t="n">
        <x:v>59127048.319000006</x:v>
      </x:c>
      <x:c r="I55" s="19" t="n">
        <x:v>62113668.495000005</x:v>
      </x:c>
      <x:c r="J55" s="19" t="n">
        <x:v>94220715.357</x:v>
      </x:c>
      <x:c r="K55" s="19" t="n">
        <x:v>380594609.805</x:v>
      </x:c>
    </x:row>
    <x:row r="56" ht="22" customHeight="1">
      <x:c r="A56" s="15" t="str">
        <x:v>Япония</x:v>
      </x:c>
      <x:c r="B56" s="20" t="d">
        <x:v>2021-02-01T00:00:00.000Z</x:v>
      </x:c>
      <x:c r="C56" s="19" t="n">
        <x:v>511996414.917</x:v>
      </x:c>
      <x:c r="D56" s="19" t="n">
        <x:v>272881815.454</x:v>
      </x:c>
      <x:c r="E56" s="19" t="n">
        <x:v>608208685.635</x:v>
      </x:c>
      <x:c r="F56" s="19" t="n">
        <x:v>79272107.128</x:v>
      </x:c>
      <x:c r="G56" s="19" t="n">
        <x:v>89157725.32100001</x:v>
      </x:c>
      <x:c r="H56" s="19" t="n">
        <x:v>55084286.33499999</x:v>
      </x:c>
      <x:c r="I56" s="19" t="n">
        <x:v>66143626.492</x:v>
      </x:c>
      <x:c r="J56" s="19" t="n">
        <x:v>95721543.33399999</x:v>
      </x:c>
      <x:c r="K56" s="19" t="n">
        <x:v>371904024.76</x:v>
      </x:c>
    </x:row>
    <x:row r="57" ht="22" customHeight="1">
      <x:c r="A57" s="15" t="str">
        <x:v>Япония</x:v>
      </x:c>
      <x:c r="B57" s="20" t="d">
        <x:v>2021-03-01T00:00:00.000Z</x:v>
      </x:c>
      <x:c r="C57" s="19" t="n">
        <x:v>582018206.964</x:v>
      </x:c>
      <x:c r="D57" s="19" t="n">
        <x:v>254723003.84800002</x:v>
      </x:c>
      <x:c r="E57" s="19" t="n">
        <x:v>655410142.379</x:v>
      </x:c>
      <x:c r="F57" s="19" t="n">
        <x:v>112431473.772</x:v>
      </x:c>
      <x:c r="G57" s="19" t="n">
        <x:v>90066613.434</x:v>
      </x:c>
      <x:c r="H57" s="19" t="n">
        <x:v>62066932.233</x:v>
      </x:c>
      <x:c r="I57" s="19" t="n">
        <x:v>89498309.424</x:v>
      </x:c>
      <x:c r="J57" s="19" t="n">
        <x:v>107390037.54699999</x:v>
      </x:c>
      <x:c r="K57" s="19" t="n">
        <x:v>418667067.626</x:v>
      </x:c>
    </x:row>
    <x:row r="58" ht="22" customHeight="1">
      <x:c r="A58" s="15" t="str">
        <x:v>Япония</x:v>
      </x:c>
      <x:c r="B58" s="20" t="d">
        <x:v>2021-04-01T00:00:00.000Z</x:v>
      </x:c>
      <x:c r="C58" s="19" t="n">
        <x:v>541578290.3989999</x:v>
      </x:c>
      <x:c r="D58" s="19" t="n">
        <x:v>294538726.341</x:v>
      </x:c>
      <x:c r="E58" s="19" t="n">
        <x:v>648643973.273</x:v>
      </x:c>
      <x:c r="F58" s="19" t="n">
        <x:v>184447881.57599998</x:v>
      </x:c>
      <x:c r="G58" s="19" t="n">
        <x:v>98801683.41800001</x:v>
      </x:c>
      <x:c r="H58" s="19" t="n">
        <x:v>61283056.617</x:v>
      </x:c>
      <x:c r="I58" s="19" t="n">
        <x:v>68215137.811</x:v>
      </x:c>
      <x:c r="J58" s="19" t="n">
        <x:v>106475740.157</x:v>
      </x:c>
      <x:c r="K58" s="19" t="n">
        <x:v>385015622.83000004</x:v>
      </x:c>
    </x:row>
    <x:row r="59" ht="22" customHeight="1">
      <x:c r="A59" s="15" t="str">
        <x:v>Япония</x:v>
      </x:c>
      <x:c r="B59" s="20" t="d">
        <x:v>2021-05-01T00:00:00.000Z</x:v>
      </x:c>
      <x:c r="C59" s="19" t="n">
        <x:v>578160680.602</x:v>
      </x:c>
      <x:c r="D59" s="19" t="n">
        <x:v>235336946.288</x:v>
      </x:c>
      <x:c r="E59" s="19" t="n">
        <x:v>716802935.3039999</x:v>
      </x:c>
      <x:c r="F59" s="19" t="n">
        <x:v>105189574.90400001</x:v>
      </x:c>
      <x:c r="G59" s="19" t="n">
        <x:v>90193804.54800001</x:v>
      </x:c>
      <x:c r="H59" s="19" t="n">
        <x:v>62669919.58</x:v>
      </x:c>
      <x:c r="I59" s="19" t="n">
        <x:v>69377799.498</x:v>
      </x:c>
      <x:c r="J59" s="19" t="n">
        <x:v>89268380.94500001</x:v>
      </x:c>
      <x:c r="K59" s="19" t="n">
        <x:v>300187801.878</x:v>
      </x:c>
    </x:row>
    <x:row r="60" ht="22" customHeight="1">
      <x:c r="A60" s="15" t="str">
        <x:v>Япония</x:v>
      </x:c>
      <x:c r="B60" s="20" t="d">
        <x:v>2021-06-01T00:00:00.000Z</x:v>
      </x:c>
      <x:c r="C60" s="19" t="n">
        <x:v>587993124.8310001</x:v>
      </x:c>
      <x:c r="D60" s="19" t="n">
        <x:v>249890619.047</x:v>
      </x:c>
      <x:c r="E60" s="19" t="n">
        <x:v>752287937.002</x:v>
      </x:c>
      <x:c r="F60" s="19" t="n">
        <x:v>110590120.08600001</x:v>
      </x:c>
      <x:c r="G60" s="19" t="n">
        <x:v>81975957.611</x:v>
      </x:c>
      <x:c r="H60" s="19" t="n">
        <x:v>64714676.779</x:v>
      </x:c>
      <x:c r="I60" s="19" t="n">
        <x:v>65880744.385</x:v>
      </x:c>
      <x:c r="J60" s="19" t="n">
        <x:v>96986025.279</x:v>
      </x:c>
      <x:c r="K60" s="19" t="n">
        <x:v>332922995.34999996</x:v>
      </x:c>
    </x:row>
    <x:row r="61" ht="22" customHeight="1">
      <x:c r="A61" s="15" t="str">
        <x:v>Япония</x:v>
      </x:c>
      <x:c r="B61" s="20" t="d">
        <x:v>2021-07-01T00:00:00.000Z</x:v>
      </x:c>
      <x:c r="C61" s="19" t="n">
        <x:v>702771819.534</x:v>
      </x:c>
      <x:c r="D61" s="19" t="n">
        <x:v>283608036.8</x:v>
      </x:c>
      <x:c r="E61" s="19" t="n">
        <x:v>736761531.092</x:v>
      </x:c>
      <x:c r="F61" s="19" t="n">
        <x:v>217155425.955</x:v>
      </x:c>
      <x:c r="G61" s="19" t="n">
        <x:v>83729000.52</x:v>
      </x:c>
      <x:c r="H61" s="19" t="n">
        <x:v>69468692.088</x:v>
      </x:c>
      <x:c r="I61" s="19" t="n">
        <x:v>76413276.565</x:v>
      </x:c>
      <x:c r="J61" s="19" t="n">
        <x:v>100748060.654</x:v>
      </x:c>
      <x:c r="K61" s="19" t="n">
        <x:v>363811480.071</x:v>
      </x:c>
    </x:row>
    <x:row r="62" ht="22" customHeight="1">
      <x:c r="A62" s="15" t="str">
        <x:v>Япония</x:v>
      </x:c>
      <x:c r="B62" s="20" t="d">
        <x:v>2021-08-01T00:00:00.000Z</x:v>
      </x:c>
      <x:c r="C62" s="19" t="n">
        <x:v>672489489.1800001</x:v>
      </x:c>
      <x:c r="D62" s="19" t="n">
        <x:v>291874683.09499997</x:v>
      </x:c>
      <x:c r="E62" s="19" t="n">
        <x:v>784431683.852</x:v>
      </x:c>
      <x:c r="F62" s="19" t="n">
        <x:v>176820570.326</x:v>
      </x:c>
      <x:c r="G62" s="19" t="n">
        <x:v>55455919.202999994</x:v>
      </x:c>
      <x:c r="H62" s="19" t="n">
        <x:v>62060860.669</x:v>
      </x:c>
      <x:c r="I62" s="19" t="n">
        <x:v>73105984.84400001</x:v>
      </x:c>
      <x:c r="J62" s="19" t="n">
        <x:v>112510096.96200001</x:v>
      </x:c>
      <x:c r="K62" s="19" t="n">
        <x:v>363419810.66499996</x:v>
      </x:c>
    </x:row>
    <x:row r="63" ht="22" customHeight="1">
      <x:c r="A63" s="15" t="str">
        <x:v>Япония</x:v>
      </x:c>
      <x:c r="B63" s="20" t="d">
        <x:v>2021-09-01T00:00:00.000Z</x:v>
      </x:c>
      <x:c r="C63" s="19" t="n">
        <x:v>738296388.516</x:v>
      </x:c>
      <x:c r="D63" s="19" t="n">
        <x:v>315377013.937</x:v>
      </x:c>
      <x:c r="E63" s="19" t="n">
        <x:v>786216095.826</x:v>
      </x:c>
      <x:c r="F63" s="19" t="n">
        <x:v>174584907.75599998</x:v>
      </x:c>
      <x:c r="G63" s="19" t="n">
        <x:v>57436647.515</x:v>
      </x:c>
      <x:c r="H63" s="19" t="n">
        <x:v>65011342.435</x:v>
      </x:c>
      <x:c r="I63" s="19" t="n">
        <x:v>77608563.976</x:v>
      </x:c>
      <x:c r="J63" s="19" t="n">
        <x:v>114952473.88100001</x:v>
      </x:c>
      <x:c r="K63" s="19" t="n">
        <x:v>519346819.404</x:v>
      </x:c>
    </x:row>
    <x:row r="64" ht="22" customHeight="1">
      <x:c r="A64" s="15" t="str">
        <x:v>Япония</x:v>
      </x:c>
      <x:c r="B64" s="20" t="d">
        <x:v>2021-10-01T00:00:00.000Z</x:v>
      </x:c>
      <x:c r="C64" s="19" t="n">
        <x:v>762518677.319</x:v>
      </x:c>
      <x:c r="D64" s="19" t="n">
        <x:v>301406131.951</x:v>
      </x:c>
      <x:c r="E64" s="19" t="n">
        <x:v>771316565.4729999</x:v>
      </x:c>
      <x:c r="F64" s="19" t="n">
        <x:v>179946199.623</x:v>
      </x:c>
      <x:c r="G64" s="19" t="n">
        <x:v>40036203.592999995</x:v>
      </x:c>
      <x:c r="H64" s="19" t="n">
        <x:v>71333930.117</x:v>
      </x:c>
      <x:c r="I64" s="19" t="n">
        <x:v>72769731.91499999</x:v>
      </x:c>
      <x:c r="J64" s="19" t="n">
        <x:v>112368763.261</x:v>
      </x:c>
      <x:c r="K64" s="19" t="n">
        <x:v>476619466.43299997</x:v>
      </x:c>
    </x:row>
    <x:row r="65" ht="22" customHeight="1">
      <x:c r="A65" s="15" t="str">
        <x:v>Япония</x:v>
      </x:c>
      <x:c r="B65" s="20" t="d">
        <x:v>2021-11-01T00:00:00.000Z</x:v>
      </x:c>
      <x:c r="C65" s="19" t="n">
        <x:v>731406134.2</x:v>
      </x:c>
      <x:c r="D65" s="19" t="n">
        <x:v>272115236.69</x:v>
      </x:c>
      <x:c r="E65" s="19" t="n">
        <x:v>677476513.305</x:v>
      </x:c>
      <x:c r="F65" s="19" t="n">
        <x:v>304137252.89500004</x:v>
      </x:c>
      <x:c r="G65" s="19" t="n">
        <x:v>42239841.393</x:v>
      </x:c>
      <x:c r="H65" s="19" t="n">
        <x:v>68982787.37</x:v>
      </x:c>
      <x:c r="I65" s="19" t="n">
        <x:v>72294024.59</x:v>
      </x:c>
      <x:c r="J65" s="19" t="n">
        <x:v>103556659.4</x:v>
      </x:c>
      <x:c r="K65" s="19" t="n">
        <x:v>440637574.029</x:v>
      </x:c>
    </x:row>
    <x:row r="66" ht="22" customHeight="1">
      <x:c r="A66" s="15" t="str">
        <x:v>Япония</x:v>
      </x:c>
      <x:c r="B66" s="20" t="d">
        <x:v>2021-12-01T00:00:00.000Z</x:v>
      </x:c>
      <x:c r="C66" s="19" t="n">
        <x:v>782490879.9449999</x:v>
      </x:c>
      <x:c r="D66" s="19" t="n">
        <x:v>345700841.461</x:v>
      </x:c>
      <x:c r="E66" s="19" t="n">
        <x:v>768258904.1850001</x:v>
      </x:c>
      <x:c r="F66" s="19" t="n">
        <x:v>243949010.007</x:v>
      </x:c>
      <x:c r="G66" s="19" t="n">
        <x:v>50210479.697</x:v>
      </x:c>
      <x:c r="H66" s="19" t="n">
        <x:v>73407642.489</x:v>
      </x:c>
      <x:c r="I66" s="19" t="n">
        <x:v>80615223.596</x:v>
      </x:c>
      <x:c r="J66" s="19" t="n">
        <x:v>103397437.78600001</x:v>
      </x:c>
      <x:c r="K66" s="19" t="n">
        <x:v>546303516.791</x:v>
      </x:c>
    </x:row>
    <x:row r="67" ht="22" customHeight="1">
      <x:c r="A67" s="15" t="str">
        <x:v>Япония</x:v>
      </x:c>
      <x:c r="B67" s="20" t="d">
        <x:v>2022-01-01T00:00:00.000Z</x:v>
      </x:c>
      <x:c r="C67" s="19" t="n">
        <x:v>643150980.752</x:v>
      </x:c>
      <x:c r="D67" s="19" t="n">
        <x:v>269066219.156</x:v>
      </x:c>
      <x:c r="E67" s="19" t="n">
        <x:v>752115212.614</x:v>
      </x:c>
      <x:c r="F67" s="19" t="n">
        <x:v>111670808.44</x:v>
      </x:c>
      <x:c r="G67" s="19" t="n">
        <x:v>41648991.327</x:v>
      </x:c>
      <x:c r="H67" s="19" t="n">
        <x:v>69307640.518</x:v>
      </x:c>
      <x:c r="I67" s="19" t="n">
        <x:v>64450280.197</x:v>
      </x:c>
      <x:c r="J67" s="19" t="n">
        <x:v>93658680.234</x:v>
      </x:c>
      <x:c r="K67" s="19" t="n">
        <x:v>398293420.48399997</x:v>
      </x:c>
    </x:row>
    <x:row r="68" ht="22" customHeight="1">
      <x:c r="A68" s="15" t="str">
        <x:v>Япония</x:v>
      </x:c>
      <x:c r="B68" s="20" t="d">
        <x:v>2022-02-01T00:00:00.000Z</x:v>
      </x:c>
      <x:c r="C68" s="19" t="n">
        <x:v>594903136.998</x:v>
      </x:c>
      <x:c r="D68" s="19" t="n">
        <x:v>273320539.70600003</x:v>
      </x:c>
      <x:c r="E68" s="19" t="n">
        <x:v>721274046.439</x:v>
      </x:c>
      <x:c r="F68" s="19" t="n">
        <x:v>121880935.699</x:v>
      </x:c>
      <x:c r="G68" s="19" t="n">
        <x:v>48638960.541</x:v>
      </x:c>
      <x:c r="H68" s="19" t="n">
        <x:v>76690954.447</x:v>
      </x:c>
      <x:c r="I68" s="19" t="n">
        <x:v>86221939.033</x:v>
      </x:c>
      <x:c r="J68" s="19" t="n">
        <x:v>98739955.273</x:v>
      </x:c>
      <x:c r="K68" s="19" t="n">
        <x:v>404706811.187</x:v>
      </x:c>
    </x:row>
    <x:row r="69" ht="22" customHeight="1">
      <x:c r="A69" s="15" t="str">
        <x:v>Япония</x:v>
      </x:c>
      <x:c r="B69" s="20" t="d">
        <x:v>2022-03-01T00:00:00.000Z</x:v>
      </x:c>
      <x:c r="C69" s="19" t="n">
        <x:v>560770265.5320001</x:v>
      </x:c>
      <x:c r="D69" s="19" t="n">
        <x:v>317301002.226</x:v>
      </x:c>
      <x:c r="E69" s="19" t="n">
        <x:v>718735898.4819999</x:v>
      </x:c>
      <x:c r="F69" s="19" t="n">
        <x:v>163371917.52699998</x:v>
      </x:c>
      <x:c r="G69" s="19" t="n">
        <x:v>48576626.783999994</x:v>
      </x:c>
      <x:c r="H69" s="19" t="n">
        <x:v>70966850.337</x:v>
      </x:c>
      <x:c r="I69" s="19" t="n">
        <x:v>78312850.04800001</x:v>
      </x:c>
      <x:c r="J69" s="19" t="n">
        <x:v>127171310.374</x:v>
      </x:c>
      <x:c r="K69" s="19" t="n">
        <x:v>446571449.327</x:v>
      </x:c>
    </x:row>
    <x:row r="70" ht="22" customHeight="1">
      <x:c r="A70" s="15" t="str">
        <x:v>Япония</x:v>
      </x:c>
      <x:c r="B70" s="20" t="d">
        <x:v>2022-04-01T00:00:00.000Z</x:v>
      </x:c>
      <x:c r="C70" s="19" t="n">
        <x:v>446479096.798</x:v>
      </x:c>
      <x:c r="D70" s="19" t="n">
        <x:v>241430969.65600002</x:v>
      </x:c>
      <x:c r="E70" s="19" t="n">
        <x:v>742696217.9699999</x:v>
      </x:c>
      <x:c r="F70" s="19" t="n">
        <x:v>102870168.15</x:v>
      </x:c>
      <x:c r="G70" s="19" t="n">
        <x:v>61587070.431</x:v>
      </x:c>
      <x:c r="H70" s="19" t="n">
        <x:v>54270539.908999994</x:v>
      </x:c>
      <x:c r="I70" s="19" t="n">
        <x:v>65403014.622999996</x:v>
      </x:c>
      <x:c r="J70" s="19" t="n">
        <x:v>96164713.794</x:v>
      </x:c>
      <x:c r="K70" s="19" t="n">
        <x:v>434739103.063</x:v>
      </x:c>
    </x:row>
    <x:row r="71" ht="22" customHeight="1">
      <x:c r="A71" s="15" t="str">
        <x:v>Япония</x:v>
      </x:c>
      <x:c r="B71" s="20" t="d">
        <x:v>2022-05-01T00:00:00.000Z</x:v>
      </x:c>
      <x:c r="C71" s="19" t="n">
        <x:v>501395906.85899997</x:v>
      </x:c>
      <x:c r="D71" s="19" t="n">
        <x:v>302286746.997</x:v>
      </x:c>
      <x:c r="E71" s="19" t="n">
        <x:v>817401333.7459999</x:v>
      </x:c>
      <x:c r="F71" s="19" t="n">
        <x:v>95538659.825</x:v>
      </x:c>
      <x:c r="G71" s="19" t="n">
        <x:v>69350360.83500001</x:v>
      </x:c>
      <x:c r="H71" s="19" t="n">
        <x:v>60280790.769</x:v>
      </x:c>
      <x:c r="I71" s="19" t="n">
        <x:v>73915352.62900001</x:v>
      </x:c>
      <x:c r="J71" s="19" t="n">
        <x:v>105277496.24000001</x:v>
      </x:c>
      <x:c r="K71" s="19" t="n">
        <x:v>367201276.507</x:v>
      </x:c>
    </x:row>
    <x:row r="72" ht="22" customHeight="1">
      <x:c r="A72" s="15" t="str">
        <x:v>Япония</x:v>
      </x:c>
      <x:c r="B72" s="20" t="d">
        <x:v>2022-06-01T00:00:00.000Z</x:v>
      </x:c>
      <x:c r="C72" s="19" t="n">
        <x:v>731416734.9729999</x:v>
      </x:c>
      <x:c r="D72" s="19" t="n">
        <x:v>303035639.34</x:v>
      </x:c>
      <x:c r="E72" s="19" t="n">
        <x:v>817596158.493</x:v>
      </x:c>
      <x:c r="F72" s="19" t="n">
        <x:v>155816645.156</x:v>
      </x:c>
      <x:c r="G72" s="19" t="n">
        <x:v>67841626.235</x:v>
      </x:c>
      <x:c r="H72" s="19" t="n">
        <x:v>74614742.16600001</x:v>
      </x:c>
      <x:c r="I72" s="19" t="n">
        <x:v>65178013.603</x:v>
      </x:c>
      <x:c r="J72" s="19" t="n">
        <x:v>110784730.178</x:v>
      </x:c>
      <x:c r="K72" s="19" t="n">
        <x:v>396344363.55200005</x:v>
      </x:c>
    </x:row>
    <x:row r="73" ht="22" customHeight="1">
      <x:c r="A73" s="15" t="str">
        <x:v>Япония</x:v>
      </x:c>
      <x:c r="B73" s="20" t="d">
        <x:v>2022-07-01T00:00:00.000Z</x:v>
      </x:c>
      <x:c r="C73" s="19" t="n">
        <x:v>727975505.687</x:v>
      </x:c>
      <x:c r="D73" s="19" t="n">
        <x:v>324281609.81700003</x:v>
      </x:c>
      <x:c r="E73" s="19" t="n">
        <x:v>642856319.463</x:v>
      </x:c>
      <x:c r="F73" s="19" t="n">
        <x:v>204277391.061</x:v>
      </x:c>
      <x:c r="G73" s="19" t="n">
        <x:v>69902624.12099999</x:v>
      </x:c>
      <x:c r="H73" s="19" t="n">
        <x:v>70380752.474</x:v>
      </x:c>
      <x:c r="I73" s="19" t="n">
        <x:v>72093743.40900001</x:v>
      </x:c>
      <x:c r="J73" s="19" t="n">
        <x:v>101860480.975</x:v>
      </x:c>
      <x:c r="K73" s="19" t="n">
        <x:v>436519929.30799997</x:v>
      </x:c>
    </x:row>
    <x:row r="74" ht="22" customHeight="1">
      <x:c r="A74" s="15" t="str">
        <x:v>Япония</x:v>
      </x:c>
      <x:c r="B74" s="20" t="d">
        <x:v>2022-08-01T00:00:00.000Z</x:v>
      </x:c>
      <x:c r="C74" s="19" t="n">
        <x:v>433780459.215</x:v>
      </x:c>
      <x:c r="D74" s="19" t="n">
        <x:v>294021908.153</x:v>
      </x:c>
      <x:c r="E74" s="19" t="n">
        <x:v>540613304.306</x:v>
      </x:c>
      <x:c r="F74" s="19" t="n">
        <x:v>259174726.588</x:v>
      </x:c>
      <x:c r="G74" s="19" t="n">
        <x:v>59889879.842999995</x:v>
      </x:c>
      <x:c r="H74" s="19" t="n">
        <x:v>56670985.835999995</x:v>
      </x:c>
      <x:c r="I74" s="19" t="n">
        <x:v>68118237.772</x:v>
      </x:c>
      <x:c r="J74" s="19" t="n">
        <x:v>94814012.118</x:v>
      </x:c>
      <x:c r="K74" s="19" t="n">
        <x:v>485468311.62799996</x:v>
      </x:c>
    </x:row>
    <x:row r="75" ht="22" customHeight="1">
      <x:c r="A75" s="15" t="str">
        <x:v>Япония</x:v>
      </x:c>
      <x:c r="B75" s="20" t="d">
        <x:v>2022-09-01T00:00:00.000Z</x:v>
      </x:c>
      <x:c r="C75" s="19" t="n">
        <x:v>719978231.578</x:v>
      </x:c>
      <x:c r="D75" s="19" t="n">
        <x:v>324757288.346</x:v>
      </x:c>
      <x:c r="E75" s="19" t="n">
        <x:v>583899087.028</x:v>
      </x:c>
      <x:c r="F75" s="19" t="n">
        <x:v>280537117.345</x:v>
      </x:c>
      <x:c r="G75" s="19" t="n">
        <x:v>51609796.113000005</x:v>
      </x:c>
      <x:c r="H75" s="19" t="n">
        <x:v>51829413.543</x:v>
      </x:c>
      <x:c r="I75" s="19" t="n">
        <x:v>100559456.992</x:v>
      </x:c>
      <x:c r="J75" s="19" t="n">
        <x:v>108341146.91600001</x:v>
      </x:c>
      <x:c r="K75" s="19" t="n">
        <x:v>578925958.5170001</x:v>
      </x:c>
    </x:row>
    <x:row r="76" ht="22" customHeight="1">
      <x:c r="A76" s="15" t="str">
        <x:v>Япония</x:v>
      </x:c>
      <x:c r="B76" s="20" t="d">
        <x:v>2022-10-01T00:00:00.000Z</x:v>
      </x:c>
      <x:c r="C76" s="19" t="n">
        <x:v>664952049.069</x:v>
      </x:c>
      <x:c r="D76" s="19" t="n">
        <x:v>296893980.628</x:v>
      </x:c>
      <x:c r="E76" s="19" t="n">
        <x:v>575537618.9740001</x:v>
      </x:c>
      <x:c r="F76" s="19" t="n">
        <x:v>256300842.68</x:v>
      </x:c>
      <x:c r="G76" s="19" t="n">
        <x:v>43193650.09</x:v>
      </x:c>
      <x:c r="H76" s="19" t="n">
        <x:v>52702126.953</x:v>
      </x:c>
      <x:c r="I76" s="19" t="n">
        <x:v>67698246.08</x:v>
      </x:c>
      <x:c r="J76" s="19" t="n">
        <x:v>106614175.352</x:v>
      </x:c>
      <x:c r="K76" s="19" t="n">
        <x:v>599449198.637</x:v>
      </x:c>
    </x:row>
    <x:row r="77" ht="22" customHeight="1">
      <x:c r="A77" s="15" t="str">
        <x:v>Япония</x:v>
      </x:c>
      <x:c r="B77" s="20" t="d">
        <x:v>2022-11-01T00:00:00.000Z</x:v>
      </x:c>
      <x:c r="C77" s="19" t="n">
        <x:v>596599700.602</x:v>
      </x:c>
      <x:c r="D77" s="19" t="n">
        <x:v>289344028.892</x:v>
      </x:c>
      <x:c r="E77" s="19" t="n">
        <x:v>506826397.611</x:v>
      </x:c>
      <x:c r="F77" s="19" t="n">
        <x:v>184762093.65800002</x:v>
      </x:c>
      <x:c r="G77" s="19" t="n">
        <x:v>45603707.882</x:v>
      </x:c>
      <x:c r="H77" s="19" t="n">
        <x:v>55710863.06</x:v>
      </x:c>
      <x:c r="I77" s="19" t="n">
        <x:v>63443014.896</x:v>
      </x:c>
      <x:c r="J77" s="19" t="n">
        <x:v>101728266.474</x:v>
      </x:c>
      <x:c r="K77" s="19" t="n">
        <x:v>582685473.8449999</x:v>
      </x:c>
    </x:row>
    <x:row r="78" ht="22" customHeight="1">
      <x:c r="A78" s="15" t="str">
        <x:v>Япония</x:v>
      </x:c>
      <x:c r="B78" s="20" t="d">
        <x:v>2022-12-01T00:00:00.000Z</x:v>
      </x:c>
      <x:c r="C78" s="19" t="n">
        <x:v>728110174.916</x:v>
      </x:c>
      <x:c r="D78" s="19" t="n">
        <x:v>280085051.677</x:v>
      </x:c>
      <x:c r="E78" s="19" t="n">
        <x:v>515972261.82</x:v>
      </x:c>
      <x:c r="F78" s="19" t="n">
        <x:v>250008325.18199998</x:v>
      </x:c>
      <x:c r="G78" s="19" t="n">
        <x:v>43032510.382</x:v>
      </x:c>
      <x:c r="H78" s="19" t="n">
        <x:v>48676190.571</x:v>
      </x:c>
      <x:c r="I78" s="19" t="n">
        <x:v>70553382.963</x:v>
      </x:c>
      <x:c r="J78" s="19" t="n">
        <x:v>109524868.02200001</x:v>
      </x:c>
      <x:c r="K78" s="19" t="n">
        <x:v>516479688.759</x:v>
      </x:c>
    </x:row>
    <x:row r="79" ht="22" customHeight="1">
      <x:c r="A79" s="15" t="str">
        <x:v>Япония</x:v>
      </x:c>
      <x:c r="B79" s="20" t="d">
        <x:v>2023-01-01T00:00:00.000Z</x:v>
      </x:c>
      <x:c r="C79" s="19" t="n">
        <x:v>611596397.6750001</x:v>
      </x:c>
      <x:c r="D79" s="19" t="n">
        <x:v>181793895.483</x:v>
      </x:c>
      <x:c r="E79" s="19" t="n">
        <x:v>486590475.137</x:v>
      </x:c>
      <x:c r="F79" s="19" t="n">
        <x:v>171413177.177</x:v>
      </x:c>
      <x:c r="G79" s="19" t="n">
        <x:v>30301183.160000004</x:v>
      </x:c>
      <x:c r="H79" s="19" t="n">
        <x:v>61663170.995000005</x:v>
      </x:c>
      <x:c r="I79" s="19" t="n">
        <x:v>61728551.608</x:v>
      </x:c>
      <x:c r="J79" s="19" t="n">
        <x:v>101348628.027</x:v>
      </x:c>
      <x:c r="K79" s="19" t="n">
        <x:v>561440751.705</x:v>
      </x:c>
    </x:row>
    <x:row r="80" ht="22" customHeight="1">
      <x:c r="A80" s="15" t="str">
        <x:v>Япония</x:v>
      </x:c>
      <x:c r="B80" s="20" t="d">
        <x:v>2023-02-01T00:00:00.000Z</x:v>
      </x:c>
      <x:c r="C80" s="19" t="n">
        <x:v>566156383.053</x:v>
      </x:c>
      <x:c r="D80" s="19" t="n">
        <x:v>202916231.44099998</x:v>
      </x:c>
      <x:c r="E80" s="19" t="n">
        <x:v>534624283.198</x:v>
      </x:c>
      <x:c r="F80" s="19" t="n">
        <x:v>146313463.249</x:v>
      </x:c>
      <x:c r="G80" s="19" t="n">
        <x:v>37387020.533</x:v>
      </x:c>
      <x:c r="H80" s="19" t="n">
        <x:v>62791486.671000004</x:v>
      </x:c>
      <x:c r="I80" s="19" t="n">
        <x:v>60660059.08</x:v>
      </x:c>
      <x:c r="J80" s="19" t="n">
        <x:v>105157002.18200001</x:v>
      </x:c>
      <x:c r="K80" s="19" t="n">
        <x:v>499396445.77099997</x:v>
      </x:c>
    </x:row>
    <x:row r="81" ht="22" customHeight="1">
      <x:c r="A81" s="15" t="str">
        <x:v>Япония</x:v>
      </x:c>
      <x:c r="B81" s="20" t="d">
        <x:v>2023-03-01T00:00:00.000Z</x:v>
      </x:c>
      <x:c r="C81" s="19" t="n">
        <x:v>661781330.3889999</x:v>
      </x:c>
      <x:c r="D81" s="19" t="n">
        <x:v>279964080.076</x:v>
      </x:c>
      <x:c r="E81" s="19" t="n">
        <x:v>551081613.3100001</x:v>
      </x:c>
      <x:c r="F81" s="19" t="n">
        <x:v>146698229.268</x:v>
      </x:c>
      <x:c r="G81" s="19" t="n">
        <x:v>39052605.396</x:v>
      </x:c>
      <x:c r="H81" s="19" t="n">
        <x:v>49787026.7</x:v>
      </x:c>
      <x:c r="I81" s="19" t="n">
        <x:v>72749221.613</x:v>
      </x:c>
      <x:c r="J81" s="19" t="n">
        <x:v>122498661.611</x:v>
      </x:c>
      <x:c r="K81" s="19" t="n">
        <x:v>547725339.757</x:v>
      </x:c>
    </x:row>
    <x:row r="82" ht="22" customHeight="1">
      <x:c r="A82" s="15" t="str">
        <x:v>Япония</x:v>
      </x:c>
      <x:c r="B82" s="20" t="d">
        <x:v>2023-04-01T00:00:00.000Z</x:v>
      </x:c>
      <x:c r="C82" s="19" t="n">
        <x:v>475549581.223</x:v>
      </x:c>
      <x:c r="D82" s="19" t="n">
        <x:v>284570967.281</x:v>
      </x:c>
      <x:c r="E82" s="19" t="n">
        <x:v>480353965.59800005</x:v>
      </x:c>
      <x:c r="F82" s="19" t="n">
        <x:v>154558725.682</x:v>
      </x:c>
      <x:c r="G82" s="19" t="n">
        <x:v>95457398.39</x:v>
      </x:c>
      <x:c r="H82" s="19" t="n">
        <x:v>50950760.76099999</x:v>
      </x:c>
      <x:c r="I82" s="19" t="n">
        <x:v>82665886.613</x:v>
      </x:c>
      <x:c r="J82" s="19" t="n">
        <x:v>108854959.438</x:v>
      </x:c>
      <x:c r="K82" s="19" t="n">
        <x:v>340562023.657</x:v>
      </x:c>
    </x:row>
    <x:row r="83" ht="22" customHeight="1">
      <x:c r="A83" s="15" t="str">
        <x:v>Япония</x:v>
      </x:c>
      <x:c r="B83" s="20" t="d">
        <x:v>2023-05-01T00:00:00.000Z</x:v>
      </x:c>
      <x:c r="C83" s="19" t="n">
        <x:v>604815206.485</x:v>
      </x:c>
      <x:c r="D83" s="19" t="n">
        <x:v>299753434.139</x:v>
      </x:c>
      <x:c r="E83" s="19" t="n">
        <x:v>351823152.00200003</x:v>
      </x:c>
      <x:c r="F83" s="19" t="n">
        <x:v>85036943.271</x:v>
      </x:c>
      <x:c r="G83" s="19" t="n">
        <x:v>91680628.03099999</x:v>
      </x:c>
      <x:c r="H83" s="19" t="n">
        <x:v>44888110.068</x:v>
      </x:c>
      <x:c r="I83" s="19" t="n">
        <x:v>67451335.462</x:v>
      </x:c>
      <x:c r="J83" s="19" t="n">
        <x:v>101959506.27399999</x:v>
      </x:c>
      <x:c r="K83" s="19" t="n">
        <x:v>367251659.28900003</x:v>
      </x:c>
    </x:row>
    <x:row r="84" ht="22" customHeight="1">
      <x:c r="A84" s="15" t="str">
        <x:v>Япония</x:v>
      </x:c>
      <x:c r="B84" s="20" t="d">
        <x:v>2023-06-01T00:00:00.000Z</x:v>
      </x:c>
      <x:c r="C84" s="19" t="n">
        <x:v>617566843.469</x:v>
      </x:c>
      <x:c r="D84" s="19" t="n">
        <x:v>376354734.385</x:v>
      </x:c>
      <x:c r="E84" s="19" t="n">
        <x:v>447278828.90400004</x:v>
      </x:c>
      <x:c r="F84" s="19" t="n">
        <x:v>147377373.88099998</x:v>
      </x:c>
      <x:c r="G84" s="19" t="n">
        <x:v>110778506.065</x:v>
      </x:c>
      <x:c r="H84" s="19" t="n">
        <x:v>51331785.094</x:v>
      </x:c>
      <x:c r="I84" s="19" t="n">
        <x:v>73033353.16</x:v>
      </x:c>
      <x:c r="J84" s="19" t="n">
        <x:v>110182665.647</x:v>
      </x:c>
      <x:c r="K84" s="19" t="n">
        <x:v>438242666.846</x:v>
      </x:c>
    </x:row>
    <x:row r="85" ht="22" customHeight="1">
      <x:c r="A85" s="15" t="str">
        <x:v>Япония</x:v>
      </x:c>
      <x:c r="B85" s="20" t="d">
        <x:v>2023-07-01T00:00:00.000Z</x:v>
      </x:c>
      <x:c r="C85" s="19" t="n">
        <x:v>569528911.1819999</x:v>
      </x:c>
      <x:c r="D85" s="19" t="n">
        <x:v>329283682.36800003</x:v>
      </x:c>
      <x:c r="E85" s="19" t="n">
        <x:v>434981492.00100005</x:v>
      </x:c>
      <x:c r="F85" s="19" t="n">
        <x:v>173155914.188</x:v>
      </x:c>
      <x:c r="G85" s="19" t="n">
        <x:v>106782154.695</x:v>
      </x:c>
      <x:c r="H85" s="19" t="n">
        <x:v>61837411.179000005</x:v>
      </x:c>
      <x:c r="I85" s="19" t="n">
        <x:v>75223638.587</x:v>
      </x:c>
      <x:c r="J85" s="19" t="n">
        <x:v>105129469.42500001</x:v>
      </x:c>
      <x:c r="K85" s="19" t="n">
        <x:v>368816307.101</x:v>
      </x:c>
    </x:row>
    <x:row r="86" ht="22" customHeight="1">
      <x:c r="A86" s="15" t="str">
        <x:v>Япония</x:v>
      </x:c>
      <x:c r="B86" s="20" t="d">
        <x:v>2023-08-01T00:00:00.000Z</x:v>
      </x:c>
      <x:c r="C86" s="19" t="n">
        <x:v>564753417.107</x:v>
      </x:c>
      <x:c r="D86" s="19" t="n">
        <x:v>319992461.067</x:v>
      </x:c>
      <x:c r="E86" s="19" t="n">
        <x:v>482222551.667</x:v>
      </x:c>
      <x:c r="F86" s="19" t="n">
        <x:v>355910236.512</x:v>
      </x:c>
      <x:c r="G86" s="19" t="n">
        <x:v>37268842.162</x:v>
      </x:c>
      <x:c r="H86" s="19" t="n">
        <x:v>63760910.808</x:v>
      </x:c>
      <x:c r="I86" s="19" t="n">
        <x:v>69539841.963</x:v>
      </x:c>
      <x:c r="J86" s="19" t="n">
        <x:v>107120864.07</x:v>
      </x:c>
      <x:c r="K86" s="19" t="n">
        <x:v>476393686.92100006</x:v>
      </x:c>
    </x:row>
    <x:row r="87" ht="22" customHeight="1">
      <x:c r="A87" s="15" t="str">
        <x:v>Япония</x:v>
      </x:c>
      <x:c r="B87" s="20" t="d">
        <x:v>2023-09-01T00:00:00.000Z</x:v>
      </x:c>
      <x:c r="C87" s="19" t="n">
        <x:v>508099729.844</x:v>
      </x:c>
      <x:c r="D87" s="19" t="n">
        <x:v>311526560.265</x:v>
      </x:c>
      <x:c r="E87" s="19" t="n">
        <x:v>560595695.205</x:v>
      </x:c>
      <x:c r="F87" s="19" t="n">
        <x:v>279321618.801</x:v>
      </x:c>
      <x:c r="G87" s="19" t="n">
        <x:v>45090488.906</x:v>
      </x:c>
      <x:c r="H87" s="19" t="n">
        <x:v>54197319.316</x:v>
      </x:c>
      <x:c r="I87" s="19" t="n">
        <x:v>72270765.20300001</x:v>
      </x:c>
      <x:c r="J87" s="19" t="n">
        <x:v>117848923.506</x:v>
      </x:c>
      <x:c r="K87" s="19" t="n">
        <x:v>501325000.63</x:v>
      </x:c>
    </x:row>
    <x:row r="88" ht="22" customHeight="1">
      <x:c r="A88" s="15" t="str">
        <x:v>Япония</x:v>
      </x:c>
      <x:c r="B88" s="20" t="d">
        <x:v>2023-10-01T00:00:00.000Z</x:v>
      </x:c>
      <x:c r="C88" s="19" t="n">
        <x:v>472063595.31</x:v>
      </x:c>
      <x:c r="D88" s="19" t="n">
        <x:v>332578863.003</x:v>
      </x:c>
      <x:c r="E88" s="19" t="n">
        <x:v>619306341.448</x:v>
      </x:c>
      <x:c r="F88" s="19" t="n">
        <x:v>390224016.26600003</x:v>
      </x:c>
      <x:c r="G88" s="19" t="n">
        <x:v>37493183.495000005</x:v>
      </x:c>
      <x:c r="H88" s="19" t="n">
        <x:v>62524249.305</x:v>
      </x:c>
      <x:c r="I88" s="19" t="n">
        <x:v>74893333.421</x:v>
      </x:c>
      <x:c r="J88" s="19" t="n">
        <x:v>114194916.675</x:v>
      </x:c>
      <x:c r="K88" s="19" t="n">
        <x:v>562380417.724</x:v>
      </x:c>
    </x:row>
    <x:row r="89" ht="22" customHeight="1">
      <x:c r="A89" s="15" t="str">
        <x:v>Япония</x:v>
      </x:c>
      <x:c r="B89" s="20" t="d">
        <x:v>2023-11-01T00:00:00.000Z</x:v>
      </x:c>
      <x:c r="C89" s="19" t="n">
        <x:v>444075492.898</x:v>
      </x:c>
      <x:c r="D89" s="19" t="n">
        <x:v>353363408.047</x:v>
      </x:c>
      <x:c r="E89" s="19" t="n">
        <x:v>601881811.847</x:v>
      </x:c>
      <x:c r="F89" s="19" t="n">
        <x:v>414134937.41400003</x:v>
      </x:c>
      <x:c r="G89" s="19" t="n">
        <x:v>43043013.463</x:v>
      </x:c>
      <x:c r="H89" s="19" t="n">
        <x:v>52717554.159</x:v>
      </x:c>
      <x:c r="I89" s="19" t="n">
        <x:v>67078170.26100001</x:v>
      </x:c>
      <x:c r="J89" s="19" t="n">
        <x:v>131757903.602</x:v>
      </x:c>
      <x:c r="K89" s="19" t="n">
        <x:v>522435862.21099997</x:v>
      </x:c>
    </x:row>
    <x:row r="90" ht="22" customHeight="1">
      <x:c r="A90" s="15" t="str">
        <x:v>Япония</x:v>
      </x:c>
      <x:c r="B90" s="20" t="d">
        <x:v>2023-12-01T00:00:00.000Z</x:v>
      </x:c>
      <x:c r="C90" s="19" t="n">
        <x:v>482296123.376</x:v>
      </x:c>
      <x:c r="D90" s="19" t="n">
        <x:v>406523144.642</x:v>
      </x:c>
      <x:c r="E90" s="19" t="n">
        <x:v>565419852.814</x:v>
      </x:c>
      <x:c r="F90" s="19" t="n">
        <x:v>301523307.315</x:v>
      </x:c>
      <x:c r="G90" s="19" t="n">
        <x:v>46524978.966</x:v>
      </x:c>
      <x:c r="H90" s="19" t="n">
        <x:v>46665516.997</x:v>
      </x:c>
      <x:c r="I90" s="19" t="n">
        <x:v>80235564.03299999</x:v>
      </x:c>
      <x:c r="J90" s="19" t="n">
        <x:v>107014662.704</x:v>
      </x:c>
      <x:c r="K90" s="19" t="n">
        <x:v>495929998.789</x:v>
      </x:c>
    </x:row>
    <x:row r="91" ht="22" customHeight="1">
      <x:c r="A91" s="15" t="str">
        <x:v>Япония</x:v>
      </x:c>
      <x:c r="B91" s="20" t="d">
        <x:v>2024-01-01T00:00:00.000Z</x:v>
      </x:c>
      <x:c r="C91" s="19" t="n">
        <x:v>449912617.623</x:v>
      </x:c>
      <x:c r="D91" s="19" t="n">
        <x:v>304987167.38699996</x:v>
      </x:c>
      <x:c r="E91" s="19" t="n">
        <x:v>583287915.007</x:v>
      </x:c>
      <x:c r="F91" s="19" t="n">
        <x:v>242492269.374</x:v>
      </x:c>
      <x:c r="G91" s="19" t="n">
        <x:v>32435618.465</x:v>
      </x:c>
      <x:c r="H91" s="19" t="n">
        <x:v>50390593.614</x:v>
      </x:c>
      <x:c r="I91" s="19" t="n">
        <x:v>58890522.93700001</x:v>
      </x:c>
      <x:c r="J91" s="19" t="n">
        <x:v>101234678.17199999</x:v>
      </x:c>
      <x:c r="K91" s="19" t="n">
        <x:v>422301616.39</x:v>
      </x:c>
    </x:row>
    <x:row r="92" ht="22" customHeight="1">
      <x:c r="A92" s="15" t="str">
        <x:v>Япония</x:v>
      </x:c>
      <x:c r="B92" s="20" t="d">
        <x:v>2024-02-01T00:00:00.000Z</x:v>
      </x:c>
      <x:c r="C92" s="19" t="n">
        <x:v>467115197.042</x:v>
      </x:c>
      <x:c r="D92" s="19" t="n">
        <x:v>245533064.22900003</x:v>
      </x:c>
      <x:c r="E92" s="19" t="n">
        <x:v>534884867.276</x:v>
      </x:c>
      <x:c r="F92" s="19" t="n">
        <x:v>224906823.224</x:v>
      </x:c>
      <x:c r="G92" s="19" t="n">
        <x:v>40657556.788</x:v>
      </x:c>
      <x:c r="H92" s="19" t="n">
        <x:v>49588671.366</x:v>
      </x:c>
      <x:c r="I92" s="19" t="n">
        <x:v>67845299.386</x:v>
      </x:c>
      <x:c r="J92" s="19" t="n">
        <x:v>95671277.581</x:v>
      </x:c>
      <x:c r="K92" s="19" t="n">
        <x:v>449354389.132</x:v>
      </x:c>
    </x:row>
    <x:row r="93" ht="22" customHeight="1">
      <x:c r="A93" s="15" t="str">
        <x:v>Япония</x:v>
      </x:c>
      <x:c r="B93" s="20" t="d">
        <x:v>2024-03-01T00:00:00.000Z</x:v>
      </x:c>
      <x:c r="C93" s="19" t="n">
        <x:v>552540329.876</x:v>
      </x:c>
      <x:c r="D93" s="19" t="n">
        <x:v>338062739.29899997</x:v>
      </x:c>
      <x:c r="E93" s="19" t="n">
        <x:v>651255683.0550001</x:v>
      </x:c>
      <x:c r="F93" s="19" t="n">
        <x:v>287935258.786</x:v>
      </x:c>
      <x:c r="G93" s="19" t="n">
        <x:v>48680718.04</x:v>
      </x:c>
      <x:c r="H93" s="19" t="n">
        <x:v>50273478.730000004</x:v>
      </x:c>
      <x:c r="I93" s="19" t="n">
        <x:v>71469479.249</x:v>
      </x:c>
      <x:c r="J93" s="19" t="n">
        <x:v>104122747.544</x:v>
      </x:c>
      <x:c r="K93" s="19" t="n">
        <x:v>453473959.422</x:v>
      </x:c>
    </x:row>
    <x:row r="94" ht="22" customHeight="1">
      <x:c r="A94" s="15" t="str">
        <x:v>Япония</x:v>
      </x:c>
      <x:c r="B94" s="20" t="d">
        <x:v>2024-04-01T00:00:00.000Z</x:v>
      </x:c>
      <x:c r="C94" s="19" t="n">
        <x:v>504210664.68200004</x:v>
      </x:c>
      <x:c r="D94" s="19" t="n">
        <x:v>365690282.494</x:v>
      </x:c>
      <x:c r="E94" s="19" t="n">
        <x:v>627854044.978</x:v>
      </x:c>
      <x:c r="F94" s="19" t="n">
        <x:v>219285450.571</x:v>
      </x:c>
      <x:c r="G94" s="19" t="n">
        <x:v>43629529.693</x:v>
      </x:c>
      <x:c r="H94" s="19" t="n">
        <x:v>46263047.836</x:v>
      </x:c>
      <x:c r="I94" s="19" t="n">
        <x:v>67535190.109</x:v>
      </x:c>
      <x:c r="J94" s="19" t="n">
        <x:v>92606886.35499999</x:v>
      </x:c>
      <x:c r="K94" s="19" t="n">
        <x:v>376974790.75</x:v>
      </x:c>
    </x:row>
    <x:row r="95" ht="22" customHeight="1">
      <x:c r="A95" s="15" t="str">
        <x:v>Япония</x:v>
      </x:c>
      <x:c r="B95" s="20" t="d">
        <x:v>2024-05-01T00:00:00.000Z</x:v>
      </x:c>
      <x:c r="C95" s="19" t="n">
        <x:v>541716650.977</x:v>
      </x:c>
      <x:c r="D95" s="19" t="n">
        <x:v>362456269.437</x:v>
      </x:c>
      <x:c r="E95" s="19" t="n">
        <x:v>666395813.905</x:v>
      </x:c>
      <x:c r="F95" s="19" t="n">
        <x:v>134282562.037</x:v>
      </x:c>
      <x:c r="G95" s="19" t="n">
        <x:v>40007298.901</x:v>
      </x:c>
      <x:c r="H95" s="19" t="n">
        <x:v>48972459.831</x:v>
      </x:c>
      <x:c r="I95" s="19" t="n">
        <x:v>66985752.460999995</x:v>
      </x:c>
      <x:c r="J95" s="19" t="n">
        <x:v>104663547.03099999</x:v>
      </x:c>
      <x:c r="K95" s="19" t="n">
        <x:v>374029314.706</x:v>
      </x:c>
    </x:row>
    <x:row r="96" ht="22" customHeight="1">
      <x:c r="A96" s="15" t="str">
        <x:v>Япония</x:v>
      </x:c>
      <x:c r="B96" s="20" t="d">
        <x:v>2024-06-01T00:00:00.000Z</x:v>
      </x:c>
      <x:c r="C96" s="19" t="n">
        <x:v>521754215.512</x:v>
      </x:c>
      <x:c r="D96" s="19" t="n">
        <x:v>357147881.53400004</x:v>
      </x:c>
      <x:c r="E96" s="19" t="n">
        <x:v>625882334.218</x:v>
      </x:c>
      <x:c r="F96" s="19" t="n">
        <x:v>150726304.218</x:v>
      </x:c>
      <x:c r="G96" s="19" t="n">
        <x:v>42197042.831</x:v>
      </x:c>
      <x:c r="H96" s="19" t="n">
        <x:v>50530987.651999995</x:v>
      </x:c>
      <x:c r="I96" s="19" t="n">
        <x:v>68884400.133</x:v>
      </x:c>
      <x:c r="J96" s="19" t="n">
        <x:v>98859309.82</x:v>
      </x:c>
      <x:c r="K96" s="19" t="n">
        <x:v>383711592.473</x:v>
      </x:c>
    </x:row>
    <x:row r="97" ht="22" customHeight="1">
      <x:c r="A97" s="15" t="str">
        <x:v>Япония</x:v>
      </x:c>
      <x:c r="B97" s="20" t="d">
        <x:v>2024-07-01T00:00:00.000Z</x:v>
      </x:c>
      <x:c r="C97" s="19" t="n">
        <x:v>553194641.286</x:v>
      </x:c>
      <x:c r="D97" s="19" t="n">
        <x:v>436772061.876</x:v>
      </x:c>
      <x:c r="E97" s="19" t="n">
        <x:v>682801949.971</x:v>
      </x:c>
      <x:c r="F97" s="19" t="n">
        <x:v>150979798.747</x:v>
      </x:c>
      <x:c r="G97" s="19" t="n">
        <x:v>36614538.782</x:v>
      </x:c>
      <x:c r="H97" s="19" t="n">
        <x:v>56827919.295</x:v>
      </x:c>
      <x:c r="I97" s="19" t="n">
        <x:v>71543128.856</x:v>
      </x:c>
      <x:c r="J97" s="19" t="n">
        <x:v>99492737.20199999</x:v>
      </x:c>
      <x:c r="K97" s="19" t="n">
        <x:v>566267048.362</x:v>
      </x:c>
    </x:row>
    <x:row r="98" ht="22" customHeight="1">
      <x:c r="A98" s="15" t="str">
        <x:v>Япония</x:v>
      </x:c>
      <x:c r="B98" s="20" t="d">
        <x:v>2024-08-01T00:00:00.000Z</x:v>
      </x:c>
      <x:c r="C98" s="19" t="n">
        <x:v>585594027.012</x:v>
      </x:c>
      <x:c r="D98" s="19" t="n">
        <x:v>552478322.788</x:v>
      </x:c>
      <x:c r="E98" s="19" t="n">
        <x:v>692056494.883</x:v>
      </x:c>
      <x:c r="F98" s="19" t="n">
        <x:v>222663884.13500002</x:v>
      </x:c>
      <x:c r="G98" s="19" t="n">
        <x:v>34695737.059</x:v>
      </x:c>
      <x:c r="H98" s="19" t="n">
        <x:v>60030019.08399999</x:v>
      </x:c>
      <x:c r="I98" s="19" t="n">
        <x:v>71964558.88499999</x:v>
      </x:c>
      <x:c r="J98" s="19" t="n">
        <x:v>106929708.391</x:v>
      </x:c>
      <x:c r="K98" s="19" t="n">
        <x:v>598850566.3000001</x:v>
      </x:c>
    </x:row>
    <x:row r="99" ht="22" customHeight="1">
      <x:c r="A99" s="15" t="str">
        <x:v>Япония</x:v>
      </x:c>
      <x:c r="B99" s="20" t="d">
        <x:v>2024-09-01T00:00:00.000Z</x:v>
      </x:c>
      <x:c r="C99" s="19" t="n">
        <x:v>570415821.381</x:v>
      </x:c>
      <x:c r="D99" s="19" t="n">
        <x:v>613864199.86</x:v>
      </x:c>
      <x:c r="E99" s="19" t="n">
        <x:v>713229753.33</x:v>
      </x:c>
      <x:c r="F99" s="19" t="n">
        <x:v>204785126.265</x:v>
      </x:c>
      <x:c r="G99" s="19" t="n">
        <x:v>35669594.734</x:v>
      </x:c>
      <x:c r="H99" s="19" t="n">
        <x:v>70177569.82699999</x:v>
      </x:c>
      <x:c r="I99" s="19" t="n">
        <x:v>76575296.407</x:v>
      </x:c>
      <x:c r="J99" s="19" t="n">
        <x:v>109733704.192</x:v>
      </x:c>
      <x:c r="K99" s="19" t="n">
        <x:v>622047561.944</x:v>
      </x:c>
    </x:row>
    <x:row r="100" ht="22" customHeight="1">
      <x:c r="A100" s="15" t="str">
        <x:v>Япония</x:v>
      </x:c>
      <x:c r="B100" s="20" t="d">
        <x:v>2024-10-01T00:00:00.000Z</x:v>
      </x:c>
      <x:c r="C100" s="19" t="n">
        <x:v>529334512.742</x:v>
      </x:c>
      <x:c r="D100" s="19" t="n">
        <x:v>495157228.29899997</x:v>
      </x:c>
      <x:c r="E100" s="19" t="n">
        <x:v>575404145.8330001</x:v>
      </x:c>
      <x:c r="F100" s="19" t="n">
        <x:v>193837376.593</x:v>
      </x:c>
      <x:c r="G100" s="19" t="n">
        <x:v>78890292.489</x:v>
      </x:c>
      <x:c r="H100" s="19" t="n">
        <x:v>62910939.376</x:v>
      </x:c>
      <x:c r="I100" s="19" t="n">
        <x:v>74748010.366</x:v>
      </x:c>
      <x:c r="J100" s="19" t="n">
        <x:v>111469744.544</x:v>
      </x:c>
      <x:c r="K100" s="19" t="n">
        <x:v>613060427.299</x:v>
      </x:c>
    </x:row>
    <x:row r="101" ht="22" customHeight="1">
      <x:c r="A101" s="15" t="str">
        <x:v>Япония</x:v>
      </x:c>
      <x:c r="B101" s="20" t="d">
        <x:v>2024-11-01T00:00:00.000Z</x:v>
      </x:c>
      <x:c r="C101" s="19" t="n">
        <x:v>494759630.68799996</x:v>
      </x:c>
      <x:c r="D101" s="19" t="n">
        <x:v>454750655.184</x:v>
      </x:c>
      <x:c r="E101" s="19" t="n">
        <x:v>481955530.50000006</x:v>
      </x:c>
      <x:c r="F101" s="19" t="n">
        <x:v>141788194.908</x:v>
      </x:c>
      <x:c r="G101" s="19" t="n">
        <x:v>183526827.48000002</x:v>
      </x:c>
      <x:c r="H101" s="19" t="n">
        <x:v>60638370.192</x:v>
      </x:c>
      <x:c r="I101" s="19" t="n">
        <x:v>62002144.632</x:v>
      </x:c>
      <x:c r="J101" s="19" t="n">
        <x:v>101057750.46000001</x:v>
      </x:c>
      <x:c r="K101" s="19" t="n">
        <x:v>490827698.952</x:v>
      </x:c>
    </x:row>
    <x:row r="102" ht="22" customHeight="1">
      <x:c r="A102" s="15" t="str">
        <x:v>Япония</x:v>
      </x:c>
      <x:c r="B102" s="20" t="d">
        <x:v>2024-12-01T00:00:00.000Z</x:v>
      </x:c>
      <x:c r="C102" s="19" t="n">
        <x:v>509309672.09800005</x:v>
      </x:c>
      <x:c r="D102" s="19" t="n">
        <x:v>521502618.35800004</x:v>
      </x:c>
      <x:c r="E102" s="19" t="n">
        <x:v>510760999.60499996</x:v>
      </x:c>
      <x:c r="F102" s="19" t="n">
        <x:v>160944013.59</x:v>
      </x:c>
      <x:c r="G102" s="19" t="n">
        <x:v>180407864.589</x:v>
      </x:c>
      <x:c r="H102" s="19" t="n">
        <x:v>56997904.078</x:v>
      </x:c>
      <x:c r="I102" s="19" t="n">
        <x:v>83387486.557</x:v>
      </x:c>
      <x:c r="J102" s="19" t="n">
        <x:v>87717209.583</x:v>
      </x:c>
      <x:c r="K102" s="19" t="n">
        <x:v>501987232.328</x:v>
      </x:c>
    </x:row>
    <x:row r="103" ht="22" customHeight="1">
      <x:c r="A103" s="15" t="str">
        <x:v>Республика Корея</x:v>
      </x:c>
      <x:c r="B103" s="20" t="d">
        <x:v>2017-01-01T00:00:00.000Z</x:v>
      </x:c>
      <x:c r="C103" s="19" t="n">
        <x:v>2094441402</x:v>
      </x:c>
      <x:c r="D103" s="19" t="n">
        <x:v>1787946905</x:v>
      </x:c>
      <x:c r="E103" s="19" t="n">
        <x:v>257326599</x:v>
      </x:c>
      <x:c r="F103" s="19" t="n">
        <x:v>457558715</x:v>
      </x:c>
      <x:c r="G103" s="19" t="n">
        <x:v>214761334</x:v>
      </x:c>
      <x:c r="H103" s="19" t="n">
        <x:v>239919825</x:v>
      </x:c>
      <x:c r="I103" s="19" t="n">
        <x:v>52690508</x:v>
      </x:c>
      <x:c r="J103" s="19" t="n">
        <x:v>36363092</x:v>
      </x:c>
      <x:c r="K103" s="19" t="n">
        <x:v>384838786</x:v>
      </x:c>
    </x:row>
    <x:row r="104" ht="22" customHeight="1">
      <x:c r="A104" s="15" t="str">
        <x:v>Республика Корея</x:v>
      </x:c>
      <x:c r="B104" s="20" t="d">
        <x:v>2017-02-01T00:00:00.000Z</x:v>
      </x:c>
      <x:c r="C104" s="19" t="n">
        <x:v>2153662437</x:v>
      </x:c>
      <x:c r="D104" s="19" t="n">
        <x:v>1788370523</x:v>
      </x:c>
      <x:c r="E104" s="19" t="n">
        <x:v>295548267</x:v>
      </x:c>
      <x:c r="F104" s="19" t="n">
        <x:v>533273006</x:v>
      </x:c>
      <x:c r="G104" s="19" t="n">
        <x:v>172840331</x:v>
      </x:c>
      <x:c r="H104" s="19" t="n">
        <x:v>232552713</x:v>
      </x:c>
      <x:c r="I104" s="19" t="n">
        <x:v>64504618</x:v>
      </x:c>
      <x:c r="J104" s="19" t="n">
        <x:v>29976562</x:v>
      </x:c>
      <x:c r="K104" s="19" t="n">
        <x:v>343671304</x:v>
      </x:c>
    </x:row>
    <x:row r="105" ht="22" customHeight="1">
      <x:c r="A105" s="15" t="str">
        <x:v>Республика Корея</x:v>
      </x:c>
      <x:c r="B105" s="20" t="d">
        <x:v>2017-03-01T00:00:00.000Z</x:v>
      </x:c>
      <x:c r="C105" s="19" t="n">
        <x:v>2342264784</x:v>
      </x:c>
      <x:c r="D105" s="19" t="n">
        <x:v>2095545580</x:v>
      </x:c>
      <x:c r="E105" s="19" t="n">
        <x:v>340359387</x:v>
      </x:c>
      <x:c r="F105" s="19" t="n">
        <x:v>813096523</x:v>
      </x:c>
      <x:c r="G105" s="19" t="n">
        <x:v>217750039</x:v>
      </x:c>
      <x:c r="H105" s="19" t="n">
        <x:v>296318239</x:v>
      </x:c>
      <x:c r="I105" s="19" t="n">
        <x:v>67364806</x:v>
      </x:c>
      <x:c r="J105" s="19" t="n">
        <x:v>29651898</x:v>
      </x:c>
      <x:c r="K105" s="19" t="n">
        <x:v>390941265</x:v>
      </x:c>
    </x:row>
    <x:row r="106" ht="22" customHeight="1">
      <x:c r="A106" s="15" t="str">
        <x:v>Республика Корея</x:v>
      </x:c>
      <x:c r="B106" s="20" t="d">
        <x:v>2017-04-01T00:00:00.000Z</x:v>
      </x:c>
      <x:c r="C106" s="19" t="n">
        <x:v>2352610432</x:v>
      </x:c>
      <x:c r="D106" s="19" t="n">
        <x:v>1816351707</x:v>
      </x:c>
      <x:c r="E106" s="19" t="n">
        <x:v>323019243</x:v>
      </x:c>
      <x:c r="F106" s="19" t="n">
        <x:v>734779875</x:v>
      </x:c>
      <x:c r="G106" s="19" t="n">
        <x:v>250568940</x:v>
      </x:c>
      <x:c r="H106" s="19" t="n">
        <x:v>293410770</x:v>
      </x:c>
      <x:c r="I106" s="19" t="n">
        <x:v>45401471</x:v>
      </x:c>
      <x:c r="J106" s="19" t="n">
        <x:v>37021109</x:v>
      </x:c>
      <x:c r="K106" s="19" t="n">
        <x:v>358648398</x:v>
      </x:c>
    </x:row>
    <x:row r="107" ht="22" customHeight="1">
      <x:c r="A107" s="15" t="str">
        <x:v>Республика Корея</x:v>
      </x:c>
      <x:c r="B107" s="20" t="d">
        <x:v>2017-05-01T00:00:00.000Z</x:v>
      </x:c>
      <x:c r="C107" s="19" t="n">
        <x:v>2623678831</x:v>
      </x:c>
      <x:c r="D107" s="19" t="n">
        <x:v>1809864671</x:v>
      </x:c>
      <x:c r="E107" s="19" t="n">
        <x:v>370565124</x:v>
      </x:c>
      <x:c r="F107" s="19" t="n">
        <x:v>752481685</x:v>
      </x:c>
      <x:c r="G107" s="19" t="n">
        <x:v>220712628</x:v>
      </x:c>
      <x:c r="H107" s="19" t="n">
        <x:v>318799650</x:v>
      </x:c>
      <x:c r="I107" s="19" t="n">
        <x:v>42513178</x:v>
      </x:c>
      <x:c r="J107" s="19" t="n">
        <x:v>35805857</x:v>
      </x:c>
      <x:c r="K107" s="19" t="n">
        <x:v>367862712</x:v>
      </x:c>
    </x:row>
    <x:row r="108" ht="22" customHeight="1">
      <x:c r="A108" s="15" t="str">
        <x:v>Республика Корея</x:v>
      </x:c>
      <x:c r="B108" s="20" t="d">
        <x:v>2017-06-01T00:00:00.000Z</x:v>
      </x:c>
      <x:c r="C108" s="19" t="n">
        <x:v>2700449067</x:v>
      </x:c>
      <x:c r="D108" s="19" t="n">
        <x:v>2128263238</x:v>
      </x:c>
      <x:c r="E108" s="19" t="n">
        <x:v>353837642</x:v>
      </x:c>
      <x:c r="F108" s="19" t="n">
        <x:v>827085548</x:v>
      </x:c>
      <x:c r="G108" s="19" t="n">
        <x:v>218296227</x:v>
      </x:c>
      <x:c r="H108" s="19" t="n">
        <x:v>298575067</x:v>
      </x:c>
      <x:c r="I108" s="19" t="n">
        <x:v>31198659</x:v>
      </x:c>
      <x:c r="J108" s="19" t="n">
        <x:v>34041263</x:v>
      </x:c>
      <x:c r="K108" s="19" t="n">
        <x:v>398531239</x:v>
      </x:c>
    </x:row>
    <x:row r="109" ht="22" customHeight="1">
      <x:c r="A109" s="15" t="str">
        <x:v>Республика Корея</x:v>
      </x:c>
      <x:c r="B109" s="20" t="d">
        <x:v>2017-07-01T00:00:00.000Z</x:v>
      </x:c>
      <x:c r="C109" s="19" t="n">
        <x:v>2905975403</x:v>
      </x:c>
      <x:c r="D109" s="19" t="n">
        <x:v>1728313051</x:v>
      </x:c>
      <x:c r="E109" s="19" t="n">
        <x:v>403897305</x:v>
      </x:c>
      <x:c r="F109" s="19" t="n">
        <x:v>710034982</x:v>
      </x:c>
      <x:c r="G109" s="19" t="n">
        <x:v>294083409</x:v>
      </x:c>
      <x:c r="H109" s="19" t="n">
        <x:v>333508451</x:v>
      </x:c>
      <x:c r="I109" s="19" t="n">
        <x:v>47912980</x:v>
      </x:c>
      <x:c r="J109" s="19" t="n">
        <x:v>39501809</x:v>
      </x:c>
      <x:c r="K109" s="19" t="n">
        <x:v>411240896</x:v>
      </x:c>
    </x:row>
    <x:row r="110" ht="22" customHeight="1">
      <x:c r="A110" s="15" t="str">
        <x:v>Республика Корея</x:v>
      </x:c>
      <x:c r="B110" s="20" t="d">
        <x:v>2017-08-01T00:00:00.000Z</x:v>
      </x:c>
      <x:c r="C110" s="19" t="n">
        <x:v>3105050165</x:v>
      </x:c>
      <x:c r="D110" s="19" t="n">
        <x:v>2155894763</x:v>
      </x:c>
      <x:c r="E110" s="19" t="n">
        <x:v>434983814</x:v>
      </x:c>
      <x:c r="F110" s="19" t="n">
        <x:v>674798675</x:v>
      </x:c>
      <x:c r="G110" s="19" t="n">
        <x:v>290808767</x:v>
      </x:c>
      <x:c r="H110" s="19" t="n">
        <x:v>362742632</x:v>
      </x:c>
      <x:c r="I110" s="19" t="n">
        <x:v>52100647</x:v>
      </x:c>
      <x:c r="J110" s="19" t="n">
        <x:v>47623495</x:v>
      </x:c>
      <x:c r="K110" s="19" t="n">
        <x:v>444772448</x:v>
      </x:c>
    </x:row>
    <x:row r="111" ht="22" customHeight="1">
      <x:c r="A111" s="15" t="str">
        <x:v>Республика Корея</x:v>
      </x:c>
      <x:c r="B111" s="20" t="d">
        <x:v>2017-09-01T00:00:00.000Z</x:v>
      </x:c>
      <x:c r="C111" s="19" t="n">
        <x:v>3393001935</x:v>
      </x:c>
      <x:c r="D111" s="19" t="n">
        <x:v>2506437154</x:v>
      </x:c>
      <x:c r="E111" s="19" t="n">
        <x:v>358876694</x:v>
      </x:c>
      <x:c r="F111" s="19" t="n">
        <x:v>937025561</x:v>
      </x:c>
      <x:c r="G111" s="19" t="n">
        <x:v>290486620</x:v>
      </x:c>
      <x:c r="H111" s="19" t="n">
        <x:v>430366234</x:v>
      </x:c>
      <x:c r="I111" s="19" t="n">
        <x:v>42589103</x:v>
      </x:c>
      <x:c r="J111" s="19" t="n">
        <x:v>47111537</x:v>
      </x:c>
      <x:c r="K111" s="19" t="n">
        <x:v>403255694</x:v>
      </x:c>
    </x:row>
    <x:row r="112" ht="22" customHeight="1">
      <x:c r="A112" s="15" t="str">
        <x:v>Республика Корея</x:v>
      </x:c>
      <x:c r="B112" s="20" t="d">
        <x:v>2017-10-01T00:00:00.000Z</x:v>
      </x:c>
      <x:c r="C112" s="19" t="n">
        <x:v>3806968202</x:v>
      </x:c>
      <x:c r="D112" s="19" t="n">
        <x:v>2508298250</x:v>
      </x:c>
      <x:c r="E112" s="19" t="n">
        <x:v>299431939</x:v>
      </x:c>
      <x:c r="F112" s="19" t="n">
        <x:v>640934716</x:v>
      </x:c>
      <x:c r="G112" s="19" t="n">
        <x:v>248787790</x:v>
      </x:c>
      <x:c r="H112" s="19" t="n">
        <x:v>445833148</x:v>
      </x:c>
      <x:c r="I112" s="19" t="n">
        <x:v>44032237</x:v>
      </x:c>
      <x:c r="J112" s="19" t="n">
        <x:v>45333397</x:v>
      </x:c>
      <x:c r="K112" s="19" t="n">
        <x:v>388815191</x:v>
      </x:c>
    </x:row>
    <x:row r="113" ht="22" customHeight="1">
      <x:c r="A113" s="15" t="str">
        <x:v>Республика Корея</x:v>
      </x:c>
      <x:c r="B113" s="20" t="d">
        <x:v>2017-11-01T00:00:00.000Z</x:v>
      </x:c>
      <x:c r="C113" s="19" t="n">
        <x:v>3791210379</x:v>
      </x:c>
      <x:c r="D113" s="19" t="n">
        <x:v>2518571514</x:v>
      </x:c>
      <x:c r="E113" s="19" t="n">
        <x:v>291327569</x:v>
      </x:c>
      <x:c r="F113" s="19" t="n">
        <x:v>741591208</x:v>
      </x:c>
      <x:c r="G113" s="19" t="n">
        <x:v>246202700</x:v>
      </x:c>
      <x:c r="H113" s="19" t="n">
        <x:v>380019519</x:v>
      </x:c>
      <x:c r="I113" s="19" t="n">
        <x:v>49252902</x:v>
      </x:c>
      <x:c r="J113" s="19" t="n">
        <x:v>56572698</x:v>
      </x:c>
      <x:c r="K113" s="19" t="n">
        <x:v>428844937</x:v>
      </x:c>
    </x:row>
    <x:row r="114" ht="22" customHeight="1">
      <x:c r="A114" s="15" t="str">
        <x:v>Республика Корея</x:v>
      </x:c>
      <x:c r="B114" s="20" t="d">
        <x:v>2017-12-01T00:00:00.000Z</x:v>
      </x:c>
      <x:c r="C114" s="19" t="n">
        <x:v>3839774479</x:v>
      </x:c>
      <x:c r="D114" s="19" t="n">
        <x:v>2472841843</x:v>
      </x:c>
      <x:c r="E114" s="19" t="n">
        <x:v>268657560</x:v>
      </x:c>
      <x:c r="F114" s="19" t="n">
        <x:v>817202268</x:v>
      </x:c>
      <x:c r="G114" s="19" t="n">
        <x:v>224704201</x:v>
      </x:c>
      <x:c r="H114" s="19" t="n">
        <x:v>497474839</x:v>
      </x:c>
      <x:c r="I114" s="19" t="n">
        <x:v>38832482</x:v>
      </x:c>
      <x:c r="J114" s="19" t="n">
        <x:v>33429752</x:v>
      </x:c>
      <x:c r="K114" s="19" t="n">
        <x:v>384700714</x:v>
      </x:c>
    </x:row>
    <x:row r="115" ht="22" customHeight="1">
      <x:c r="A115" s="15" t="str">
        <x:v>Республика Корея</x:v>
      </x:c>
      <x:c r="B115" s="20" t="d">
        <x:v>2018-01-01T00:00:00.000Z</x:v>
      </x:c>
      <x:c r="C115" s="19" t="n">
        <x:v>3794087819</x:v>
      </x:c>
      <x:c r="D115" s="19" t="n">
        <x:v>2290192387</x:v>
      </x:c>
      <x:c r="E115" s="19" t="n">
        <x:v>294682774</x:v>
      </x:c>
      <x:c r="F115" s="19" t="n">
        <x:v>945231025</x:v>
      </x:c>
      <x:c r="G115" s="19" t="n">
        <x:v>218388982</x:v>
      </x:c>
      <x:c r="H115" s="19" t="n">
        <x:v>422281097</x:v>
      </x:c>
      <x:c r="I115" s="19" t="n">
        <x:v>45159485</x:v>
      </x:c>
      <x:c r="J115" s="19" t="n">
        <x:v>43720892</x:v>
      </x:c>
      <x:c r="K115" s="19" t="n">
        <x:v>469465829</x:v>
      </x:c>
    </x:row>
    <x:row r="116" ht="22" customHeight="1">
      <x:c r="A116" s="15" t="str">
        <x:v>Республика Корея</x:v>
      </x:c>
      <x:c r="B116" s="20" t="d">
        <x:v>2018-02-01T00:00:00.000Z</x:v>
      </x:c>
      <x:c r="C116" s="19" t="n">
        <x:v>3475076714</x:v>
      </x:c>
      <x:c r="D116" s="19" t="n">
        <x:v>2093259550</x:v>
      </x:c>
      <x:c r="E116" s="19" t="n">
        <x:v>312165893</x:v>
      </x:c>
      <x:c r="F116" s="19" t="n">
        <x:v>951341278</x:v>
      </x:c>
      <x:c r="G116" s="19" t="n">
        <x:v>173420447</x:v>
      </x:c>
      <x:c r="H116" s="19" t="n">
        <x:v>411541004</x:v>
      </x:c>
      <x:c r="I116" s="19" t="n">
        <x:v>64399570</x:v>
      </x:c>
      <x:c r="J116" s="19" t="n">
        <x:v>27486383</x:v>
      </x:c>
      <x:c r="K116" s="19" t="n">
        <x:v>445021713</x:v>
      </x:c>
    </x:row>
    <x:row r="117" ht="22" customHeight="1">
      <x:c r="A117" s="15" t="str">
        <x:v>Республика Корея</x:v>
      </x:c>
      <x:c r="B117" s="20" t="d">
        <x:v>2018-03-01T00:00:00.000Z</x:v>
      </x:c>
      <x:c r="C117" s="19" t="n">
        <x:v>3949728888</x:v>
      </x:c>
      <x:c r="D117" s="19" t="n">
        <x:v>2952281907</x:v>
      </x:c>
      <x:c r="E117" s="19" t="n">
        <x:v>389087856</x:v>
      </x:c>
      <x:c r="F117" s="19" t="n">
        <x:v>1038000645</x:v>
      </x:c>
      <x:c r="G117" s="19" t="n">
        <x:v>200685363</x:v>
      </x:c>
      <x:c r="H117" s="19" t="n">
        <x:v>474244068</x:v>
      </x:c>
      <x:c r="I117" s="19" t="n">
        <x:v>67989253</x:v>
      </x:c>
      <x:c r="J117" s="19" t="n">
        <x:v>31542186</x:v>
      </x:c>
      <x:c r="K117" s="19" t="n">
        <x:v>528738754</x:v>
      </x:c>
    </x:row>
    <x:row r="118" ht="22" customHeight="1">
      <x:c r="A118" s="15" t="str">
        <x:v>Республика Корея</x:v>
      </x:c>
      <x:c r="B118" s="20" t="d">
        <x:v>2018-04-01T00:00:00.000Z</x:v>
      </x:c>
      <x:c r="C118" s="19" t="n">
        <x:v>3590555622</x:v>
      </x:c>
      <x:c r="D118" s="19" t="n">
        <x:v>2518453653</x:v>
      </x:c>
      <x:c r="E118" s="19" t="n">
        <x:v>445504223</x:v>
      </x:c>
      <x:c r="F118" s="19" t="n">
        <x:v>692003148</x:v>
      </x:c>
      <x:c r="G118" s="19" t="n">
        <x:v>292974879</x:v>
      </x:c>
      <x:c r="H118" s="19" t="n">
        <x:v>437226784</x:v>
      </x:c>
      <x:c r="I118" s="19" t="n">
        <x:v>67248858</x:v>
      </x:c>
      <x:c r="J118" s="19" t="n">
        <x:v>33002011</x:v>
      </x:c>
      <x:c r="K118" s="19" t="n">
        <x:v>469316127</x:v>
      </x:c>
    </x:row>
    <x:row r="119" ht="22" customHeight="1">
      <x:c r="A119" s="15" t="str">
        <x:v>Республика Корея</x:v>
      </x:c>
      <x:c r="B119" s="20" t="d">
        <x:v>2018-05-01T00:00:00.000Z</x:v>
      </x:c>
      <x:c r="C119" s="19" t="n">
        <x:v>3974200316</x:v>
      </x:c>
      <x:c r="D119" s="19" t="n">
        <x:v>2854314046</x:v>
      </x:c>
      <x:c r="E119" s="19" t="n">
        <x:v>484138072</x:v>
      </x:c>
      <x:c r="F119" s="19" t="n">
        <x:v>798528922</x:v>
      </x:c>
      <x:c r="G119" s="19" t="n">
        <x:v>208394252</x:v>
      </x:c>
      <x:c r="H119" s="19" t="n">
        <x:v>465747542</x:v>
      </x:c>
      <x:c r="I119" s="19" t="n">
        <x:v>72166860</x:v>
      </x:c>
      <x:c r="J119" s="19" t="n">
        <x:v>33200017</x:v>
      </x:c>
      <x:c r="K119" s="19" t="n">
        <x:v>516759122</x:v>
      </x:c>
    </x:row>
    <x:row r="120" ht="22" customHeight="1">
      <x:c r="A120" s="15" t="str">
        <x:v>Республика Корея</x:v>
      </x:c>
      <x:c r="B120" s="20" t="d">
        <x:v>2018-06-01T00:00:00.000Z</x:v>
      </x:c>
      <x:c r="C120" s="19" t="n">
        <x:v>4132321947</x:v>
      </x:c>
      <x:c r="D120" s="19" t="n">
        <x:v>3069351103</x:v>
      </x:c>
      <x:c r="E120" s="19" t="n">
        <x:v>476747931</x:v>
      </x:c>
      <x:c r="F120" s="19" t="n">
        <x:v>679074209</x:v>
      </x:c>
      <x:c r="G120" s="19" t="n">
        <x:v>191510245</x:v>
      </x:c>
      <x:c r="H120" s="19" t="n">
        <x:v>414956165</x:v>
      </x:c>
      <x:c r="I120" s="19" t="n">
        <x:v>98979609</x:v>
      </x:c>
      <x:c r="J120" s="19" t="n">
        <x:v>32809384</x:v>
      </x:c>
      <x:c r="K120" s="19" t="n">
        <x:v>524497091</x:v>
      </x:c>
    </x:row>
    <x:row r="121" ht="22" customHeight="1">
      <x:c r="A121" s="15" t="str">
        <x:v>Республика Корея</x:v>
      </x:c>
      <x:c r="B121" s="20" t="d">
        <x:v>2018-07-01T00:00:00.000Z</x:v>
      </x:c>
      <x:c r="C121" s="19" t="n">
        <x:v>3929980101</x:v>
      </x:c>
      <x:c r="D121" s="19" t="n">
        <x:v>2671007945</x:v>
      </x:c>
      <x:c r="E121" s="19" t="n">
        <x:v>486442117</x:v>
      </x:c>
      <x:c r="F121" s="19" t="n">
        <x:v>656849224</x:v>
      </x:c>
      <x:c r="G121" s="19" t="n">
        <x:v>220529008</x:v>
      </x:c>
      <x:c r="H121" s="19" t="n">
        <x:v>456491843</x:v>
      </x:c>
      <x:c r="I121" s="19" t="n">
        <x:v>98143440</x:v>
      </x:c>
      <x:c r="J121" s="19" t="n">
        <x:v>46888113</x:v>
      </x:c>
      <x:c r="K121" s="19" t="n">
        <x:v>459470643</x:v>
      </x:c>
    </x:row>
    <x:row r="122" ht="22" customHeight="1">
      <x:c r="A122" s="15" t="str">
        <x:v>Республика Корея</x:v>
      </x:c>
      <x:c r="B122" s="20" t="d">
        <x:v>2018-08-01T00:00:00.000Z</x:v>
      </x:c>
      <x:c r="C122" s="19" t="n">
        <x:v>4109407467</x:v>
      </x:c>
      <x:c r="D122" s="19" t="n">
        <x:v>2993847825</x:v>
      </x:c>
      <x:c r="E122" s="19" t="n">
        <x:v>678438640</x:v>
      </x:c>
      <x:c r="F122" s="19" t="n">
        <x:v>878658752</x:v>
      </x:c>
      <x:c r="G122" s="19" t="n">
        <x:v>219400424</x:v>
      </x:c>
      <x:c r="H122" s="19" t="n">
        <x:v>454746220</x:v>
      </x:c>
      <x:c r="I122" s="19" t="n">
        <x:v>181465873</x:v>
      </x:c>
      <x:c r="J122" s="19" t="n">
        <x:v>38049724</x:v>
      </x:c>
      <x:c r="K122" s="19" t="n">
        <x:v>518200361</x:v>
      </x:c>
    </x:row>
    <x:row r="123" ht="22" customHeight="1">
      <x:c r="A123" s="15" t="str">
        <x:v>Республика Корея</x:v>
      </x:c>
      <x:c r="B123" s="20" t="d">
        <x:v>2018-09-01T00:00:00.000Z</x:v>
      </x:c>
      <x:c r="C123" s="19" t="n">
        <x:v>4683386780</x:v>
      </x:c>
      <x:c r="D123" s="19" t="n">
        <x:v>3327427440</x:v>
      </x:c>
      <x:c r="E123" s="19" t="n">
        <x:v>606588431</x:v>
      </x:c>
      <x:c r="F123" s="19" t="n">
        <x:v>816925892</x:v>
      </x:c>
      <x:c r="G123" s="19" t="n">
        <x:v>213863138</x:v>
      </x:c>
      <x:c r="H123" s="19" t="n">
        <x:v>539624300</x:v>
      </x:c>
      <x:c r="I123" s="19" t="n">
        <x:v>183716380</x:v>
      </x:c>
      <x:c r="J123" s="19" t="n">
        <x:v>29629452</x:v>
      </x:c>
      <x:c r="K123" s="19" t="n">
        <x:v>560069641</x:v>
      </x:c>
    </x:row>
    <x:row r="124" ht="22" customHeight="1">
      <x:c r="A124" s="15" t="str">
        <x:v>Республика Корея</x:v>
      </x:c>
      <x:c r="B124" s="20" t="d">
        <x:v>2018-10-01T00:00:00.000Z</x:v>
      </x:c>
      <x:c r="C124" s="19" t="n">
        <x:v>4108997461</x:v>
      </x:c>
      <x:c r="D124" s="19" t="n">
        <x:v>2768448143</x:v>
      </x:c>
      <x:c r="E124" s="19" t="n">
        <x:v>814165038</x:v>
      </x:c>
      <x:c r="F124" s="19" t="n">
        <x:v>784562079</x:v>
      </x:c>
      <x:c r="G124" s="19" t="n">
        <x:v>207282330</x:v>
      </x:c>
      <x:c r="H124" s="19" t="n">
        <x:v>550620644</x:v>
      </x:c>
      <x:c r="I124" s="19" t="n">
        <x:v>217125595</x:v>
      </x:c>
      <x:c r="J124" s="19" t="n">
        <x:v>38314919</x:v>
      </x:c>
      <x:c r="K124" s="19" t="n">
        <x:v>517276946</x:v>
      </x:c>
    </x:row>
    <x:row r="125" ht="22" customHeight="1">
      <x:c r="A125" s="15" t="str">
        <x:v>Республика Корея</x:v>
      </x:c>
      <x:c r="B125" s="20" t="d">
        <x:v>2018-11-01T00:00:00.000Z</x:v>
      </x:c>
      <x:c r="C125" s="19" t="n">
        <x:v>3652630413</x:v>
      </x:c>
      <x:c r="D125" s="19" t="n">
        <x:v>2104598135</x:v>
      </x:c>
      <x:c r="E125" s="19" t="n">
        <x:v>714559217</x:v>
      </x:c>
      <x:c r="F125" s="19" t="n">
        <x:v>950769489</x:v>
      </x:c>
      <x:c r="G125" s="19" t="n">
        <x:v>172938143</x:v>
      </x:c>
      <x:c r="H125" s="19" t="n">
        <x:v>474737350</x:v>
      </x:c>
      <x:c r="I125" s="19" t="n">
        <x:v>191544982</x:v>
      </x:c>
      <x:c r="J125" s="19" t="n">
        <x:v>36190512</x:v>
      </x:c>
      <x:c r="K125" s="19" t="n">
        <x:v>468881852</x:v>
      </x:c>
    </x:row>
    <x:row r="126" ht="22" customHeight="1">
      <x:c r="A126" s="15" t="str">
        <x:v>Республика Корея</x:v>
      </x:c>
      <x:c r="B126" s="20" t="d">
        <x:v>2018-12-01T00:00:00.000Z</x:v>
      </x:c>
      <x:c r="C126" s="19" t="n">
        <x:v>2846943265</x:v>
      </x:c>
      <x:c r="D126" s="19" t="n">
        <x:v>1836988963</x:v>
      </x:c>
      <x:c r="E126" s="19" t="n">
        <x:v>417299284</x:v>
      </x:c>
      <x:c r="F126" s="19" t="n">
        <x:v>828491922</x:v>
      </x:c>
      <x:c r="G126" s="19" t="n">
        <x:v>198891980</x:v>
      </x:c>
      <x:c r="H126" s="19" t="n">
        <x:v>264835914</x:v>
      </x:c>
      <x:c r="I126" s="19" t="n">
        <x:v>164218509</x:v>
      </x:c>
      <x:c r="J126" s="19" t="n">
        <x:v>19510487</x:v>
      </x:c>
      <x:c r="K126" s="19" t="n">
        <x:v>395129711</x:v>
      </x:c>
    </x:row>
    <x:row r="127" ht="22" customHeight="1">
      <x:c r="A127" s="15" t="str">
        <x:v>Республика Корея</x:v>
      </x:c>
      <x:c r="B127" s="20" t="d">
        <x:v>2019-01-01T00:00:00.000Z</x:v>
      </x:c>
      <x:c r="C127" s="19" t="n">
        <x:v>2338220017</x:v>
      </x:c>
      <x:c r="D127" s="19" t="n">
        <x:v>1296711731</x:v>
      </x:c>
      <x:c r="E127" s="19" t="n">
        <x:v>403309146</x:v>
      </x:c>
      <x:c r="F127" s="19" t="n">
        <x:v>966889701</x:v>
      </x:c>
      <x:c r="G127" s="19" t="n">
        <x:v>184538267</x:v>
      </x:c>
      <x:c r="H127" s="19" t="n">
        <x:v>328397975</x:v>
      </x:c>
      <x:c r="I127" s="19" t="n">
        <x:v>120719763</x:v>
      </x:c>
      <x:c r="J127" s="19" t="n">
        <x:v>36687163</x:v>
      </x:c>
      <x:c r="K127" s="19" t="n">
        <x:v>480974728</x:v>
      </x:c>
    </x:row>
    <x:row r="128" ht="22" customHeight="1">
      <x:c r="A128" s="15" t="str">
        <x:v>Республика Корея</x:v>
      </x:c>
      <x:c r="B128" s="20" t="d">
        <x:v>2019-02-01T00:00:00.000Z</x:v>
      </x:c>
      <x:c r="C128" s="19" t="n">
        <x:v>2024894646</x:v>
      </x:c>
      <x:c r="D128" s="19" t="n">
        <x:v>1504786590</x:v>
      </x:c>
      <x:c r="E128" s="19" t="n">
        <x:v>273935119</x:v>
      </x:c>
      <x:c r="F128" s="19" t="n">
        <x:v>926719910</x:v>
      </x:c>
      <x:c r="G128" s="19" t="n">
        <x:v>175288177</x:v>
      </x:c>
      <x:c r="H128" s="19" t="n">
        <x:v>194098120</x:v>
      </x:c>
      <x:c r="I128" s="19" t="n">
        <x:v>123725549</x:v>
      </x:c>
      <x:c r="J128" s="19" t="n">
        <x:v>31415311</x:v>
      </x:c>
      <x:c r="K128" s="19" t="n">
        <x:v>422574787</x:v>
      </x:c>
    </x:row>
    <x:row r="129" ht="22" customHeight="1">
      <x:c r="A129" s="15" t="str">
        <x:v>Республика Корея</x:v>
      </x:c>
      <x:c r="B129" s="20" t="d">
        <x:v>2019-03-01T00:00:00.000Z</x:v>
      </x:c>
      <x:c r="C129" s="19" t="n">
        <x:v>2916007037</x:v>
      </x:c>
      <x:c r="D129" s="19" t="n">
        <x:v>2327987627</x:v>
      </x:c>
      <x:c r="E129" s="19" t="n">
        <x:v>252598383</x:v>
      </x:c>
      <x:c r="F129" s="19" t="n">
        <x:v>982147471</x:v>
      </x:c>
      <x:c r="G129" s="19" t="n">
        <x:v>210707454</x:v>
      </x:c>
      <x:c r="H129" s="19" t="n">
        <x:v>225105907</x:v>
      </x:c>
      <x:c r="I129" s="19" t="n">
        <x:v>57077288</x:v>
      </x:c>
      <x:c r="J129" s="19" t="n">
        <x:v>29000917</x:v>
      </x:c>
      <x:c r="K129" s="19" t="n">
        <x:v>461652656</x:v>
      </x:c>
    </x:row>
    <x:row r="130" ht="22" customHeight="1">
      <x:c r="A130" s="15" t="str">
        <x:v>Республика Корея</x:v>
      </x:c>
      <x:c r="B130" s="20" t="d">
        <x:v>2019-04-01T00:00:00.000Z</x:v>
      </x:c>
      <x:c r="C130" s="19" t="n">
        <x:v>3319314034</x:v>
      </x:c>
      <x:c r="D130" s="19" t="n">
        <x:v>1713139261</x:v>
      </x:c>
      <x:c r="E130" s="19" t="n">
        <x:v>271185843</x:v>
      </x:c>
      <x:c r="F130" s="19" t="n">
        <x:v>852363098</x:v>
      </x:c>
      <x:c r="G130" s="19" t="n">
        <x:v>179720624</x:v>
      </x:c>
      <x:c r="H130" s="19" t="n">
        <x:v>233817406</x:v>
      </x:c>
      <x:c r="I130" s="19" t="n">
        <x:v>82033489</x:v>
      </x:c>
      <x:c r="J130" s="19" t="n">
        <x:v>21320687</x:v>
      </x:c>
      <x:c r="K130" s="19" t="n">
        <x:v>431091463</x:v>
      </x:c>
    </x:row>
    <x:row r="131" ht="22" customHeight="1">
      <x:c r="A131" s="15" t="str">
        <x:v>Республика Корея</x:v>
      </x:c>
      <x:c r="B131" s="20" t="d">
        <x:v>2019-05-01T00:00:00.000Z</x:v>
      </x:c>
      <x:c r="C131" s="19" t="n">
        <x:v>2360751675</x:v>
      </x:c>
      <x:c r="D131" s="19" t="n">
        <x:v>1878093902</x:v>
      </x:c>
      <x:c r="E131" s="19" t="n">
        <x:v>291905344</x:v>
      </x:c>
      <x:c r="F131" s="19" t="n">
        <x:v>677821669</x:v>
      </x:c>
      <x:c r="G131" s="19" t="n">
        <x:v>185266902</x:v>
      </x:c>
      <x:c r="H131" s="19" t="n">
        <x:v>240319459</x:v>
      </x:c>
      <x:c r="I131" s="19" t="n">
        <x:v>89385299</x:v>
      </x:c>
      <x:c r="J131" s="19" t="n">
        <x:v>23129834</x:v>
      </x:c>
      <x:c r="K131" s="19" t="n">
        <x:v>469984655</x:v>
      </x:c>
    </x:row>
    <x:row r="132" ht="22" customHeight="1">
      <x:c r="A132" s="15" t="str">
        <x:v>Республика Корея</x:v>
      </x:c>
      <x:c r="B132" s="20" t="d">
        <x:v>2019-06-01T00:00:00.000Z</x:v>
      </x:c>
      <x:c r="C132" s="19" t="n">
        <x:v>2885423869</x:v>
      </x:c>
      <x:c r="D132" s="19" t="n">
        <x:v>1930229551</x:v>
      </x:c>
      <x:c r="E132" s="19" t="n">
        <x:v>439301939</x:v>
      </x:c>
      <x:c r="F132" s="19" t="n">
        <x:v>815435471</x:v>
      </x:c>
      <x:c r="G132" s="19" t="n">
        <x:v>141066167</x:v>
      </x:c>
      <x:c r="H132" s="19" t="n">
        <x:v>224792265</x:v>
      </x:c>
      <x:c r="I132" s="19" t="n">
        <x:v>90341232</x:v>
      </x:c>
      <x:c r="J132" s="19" t="n">
        <x:v>28888469</x:v>
      </x:c>
      <x:c r="K132" s="19" t="n">
        <x:v>449670965</x:v>
      </x:c>
    </x:row>
    <x:row r="133" ht="22" customHeight="1">
      <x:c r="A133" s="15" t="str">
        <x:v>Республика Корея</x:v>
      </x:c>
      <x:c r="B133" s="20" t="d">
        <x:v>2019-07-01T00:00:00.000Z</x:v>
      </x:c>
      <x:c r="C133" s="19" t="n">
        <x:v>2712207022</x:v>
      </x:c>
      <x:c r="D133" s="19" t="n">
        <x:v>1468776879</x:v>
      </x:c>
      <x:c r="E133" s="19" t="n">
        <x:v>328638725</x:v>
      </x:c>
      <x:c r="F133" s="19" t="n">
        <x:v>835694389</x:v>
      </x:c>
      <x:c r="G133" s="19" t="n">
        <x:v>179770037</x:v>
      </x:c>
      <x:c r="H133" s="19" t="n">
        <x:v>228352458</x:v>
      </x:c>
      <x:c r="I133" s="19" t="n">
        <x:v>84550845</x:v>
      </x:c>
      <x:c r="J133" s="19" t="n">
        <x:v>28422804</x:v>
      </x:c>
      <x:c r="K133" s="19" t="n">
        <x:v>508864987</x:v>
      </x:c>
    </x:row>
    <x:row r="134" ht="22" customHeight="1">
      <x:c r="A134" s="15" t="str">
        <x:v>Республика Корея</x:v>
      </x:c>
      <x:c r="B134" s="20" t="d">
        <x:v>2019-08-01T00:00:00.000Z</x:v>
      </x:c>
      <x:c r="C134" s="19" t="n">
        <x:v>2825389076</x:v>
      </x:c>
      <x:c r="D134" s="19" t="n">
        <x:v>1670888961</x:v>
      </x:c>
      <x:c r="E134" s="19" t="n">
        <x:v>292127182</x:v>
      </x:c>
      <x:c r="F134" s="19" t="n">
        <x:v>949438722</x:v>
      </x:c>
      <x:c r="G134" s="19" t="n">
        <x:v>144049872</x:v>
      </x:c>
      <x:c r="H134" s="19" t="n">
        <x:v>193849531</x:v>
      </x:c>
      <x:c r="I134" s="19" t="n">
        <x:v>123427208</x:v>
      </x:c>
      <x:c r="J134" s="19" t="n">
        <x:v>28723794</x:v>
      </x:c>
      <x:c r="K134" s="19" t="n">
        <x:v>543936626</x:v>
      </x:c>
    </x:row>
    <x:row r="135" ht="22" customHeight="1">
      <x:c r="A135" s="15" t="str">
        <x:v>Республика Корея</x:v>
      </x:c>
      <x:c r="B135" s="20" t="d">
        <x:v>2019-09-01T00:00:00.000Z</x:v>
      </x:c>
      <x:c r="C135" s="19" t="n">
        <x:v>2894037013</x:v>
      </x:c>
      <x:c r="D135" s="19" t="n">
        <x:v>1941313218</x:v>
      </x:c>
      <x:c r="E135" s="19" t="n">
        <x:v>361200814</x:v>
      </x:c>
      <x:c r="F135" s="19" t="n">
        <x:v>867774793</x:v>
      </x:c>
      <x:c r="G135" s="19" t="n">
        <x:v>150796798</x:v>
      </x:c>
      <x:c r="H135" s="19" t="n">
        <x:v>193528634</x:v>
      </x:c>
      <x:c r="I135" s="19" t="n">
        <x:v>142194078</x:v>
      </x:c>
      <x:c r="J135" s="19" t="n">
        <x:v>31069375</x:v>
      </x:c>
      <x:c r="K135" s="19" t="n">
        <x:v>583731888</x:v>
      </x:c>
    </x:row>
    <x:row r="136" ht="22" customHeight="1">
      <x:c r="A136" s="15" t="str">
        <x:v>Республика Корея</x:v>
      </x:c>
      <x:c r="B136" s="20" t="d">
        <x:v>2019-10-01T00:00:00.000Z</x:v>
      </x:c>
      <x:c r="C136" s="19" t="n">
        <x:v>2824417328</x:v>
      </x:c>
      <x:c r="D136" s="19" t="n">
        <x:v>1585038831</x:v>
      </x:c>
      <x:c r="E136" s="19" t="n">
        <x:v>550190922</x:v>
      </x:c>
      <x:c r="F136" s="19" t="n">
        <x:v>644103134</x:v>
      </x:c>
      <x:c r="G136" s="19" t="n">
        <x:v>188953080</x:v>
      </x:c>
      <x:c r="H136" s="19" t="n">
        <x:v>191177016</x:v>
      </x:c>
      <x:c r="I136" s="19" t="n">
        <x:v>119352824</x:v>
      </x:c>
      <x:c r="J136" s="19" t="n">
        <x:v>36736024</x:v>
      </x:c>
      <x:c r="K136" s="19" t="n">
        <x:v>504750559</x:v>
      </x:c>
    </x:row>
    <x:row r="137" ht="22" customHeight="1">
      <x:c r="A137" s="15" t="str">
        <x:v>Республика Корея</x:v>
      </x:c>
      <x:c r="B137" s="20" t="d">
        <x:v>2019-11-01T00:00:00.000Z</x:v>
      </x:c>
      <x:c r="C137" s="19" t="n">
        <x:v>2811719114</x:v>
      </x:c>
      <x:c r="D137" s="19" t="n">
        <x:v>1506216528</x:v>
      </x:c>
      <x:c r="E137" s="19" t="n">
        <x:v>272534293</x:v>
      </x:c>
      <x:c r="F137" s="19" t="n">
        <x:v>703872896</x:v>
      </x:c>
      <x:c r="G137" s="19" t="n">
        <x:v>159851959</x:v>
      </x:c>
      <x:c r="H137" s="19" t="n">
        <x:v>162412117</x:v>
      </x:c>
      <x:c r="I137" s="19" t="n">
        <x:v>95905352</x:v>
      </x:c>
      <x:c r="J137" s="19" t="n">
        <x:v>27895821</x:v>
      </x:c>
      <x:c r="K137" s="19" t="n">
        <x:v>445088494</x:v>
      </x:c>
    </x:row>
    <x:row r="138" ht="22" customHeight="1">
      <x:c r="A138" s="15" t="str">
        <x:v>Республика Корея</x:v>
      </x:c>
      <x:c r="B138" s="20" t="d">
        <x:v>2019-12-01T00:00:00.000Z</x:v>
      </x:c>
      <x:c r="C138" s="19" t="n">
        <x:v>2698863888</x:v>
      </x:c>
      <x:c r="D138" s="19" t="n">
        <x:v>1691851986</x:v>
      </x:c>
      <x:c r="E138" s="19" t="n">
        <x:v>278649362</x:v>
      </x:c>
      <x:c r="F138" s="19" t="n">
        <x:v>527589659</x:v>
      </x:c>
      <x:c r="G138" s="19" t="n">
        <x:v>163967962</x:v>
      </x:c>
      <x:c r="H138" s="19" t="n">
        <x:v>160349760</x:v>
      </x:c>
      <x:c r="I138" s="19" t="n">
        <x:v>124817852</x:v>
      </x:c>
      <x:c r="J138" s="19" t="n">
        <x:v>26762949</x:v>
      </x:c>
      <x:c r="K138" s="19" t="n">
        <x:v>384547734</x:v>
      </x:c>
    </x:row>
    <x:row r="139" ht="22" customHeight="1">
      <x:c r="A139" s="15" t="str">
        <x:v>Республика Корея</x:v>
      </x:c>
      <x:c r="B139" s="20" t="d">
        <x:v>2020-01-01T00:00:00.000Z</x:v>
      </x:c>
      <x:c r="C139" s="19" t="n">
        <x:v>2496229779</x:v>
      </x:c>
      <x:c r="D139" s="19" t="n">
        <x:v>1339840658</x:v>
      </x:c>
      <x:c r="E139" s="19" t="n">
        <x:v>262200852</x:v>
      </x:c>
      <x:c r="F139" s="19" t="n">
        <x:v>988673745</x:v>
      </x:c>
      <x:c r="G139" s="19" t="n">
        <x:v>174275400</x:v>
      </x:c>
      <x:c r="H139" s="19" t="n">
        <x:v>209158967</x:v>
      </x:c>
      <x:c r="I139" s="19" t="n">
        <x:v>109896220</x:v>
      </x:c>
      <x:c r="J139" s="19" t="n">
        <x:v>28468117</x:v>
      </x:c>
      <x:c r="K139" s="19" t="n">
        <x:v>484698505</x:v>
      </x:c>
    </x:row>
    <x:row r="140" ht="22" customHeight="1">
      <x:c r="A140" s="15" t="str">
        <x:v>Республика Корея</x:v>
      </x:c>
      <x:c r="B140" s="20" t="d">
        <x:v>2020-02-01T00:00:00.000Z</x:v>
      </x:c>
      <x:c r="C140" s="19" t="n">
        <x:v>2440641961</x:v>
      </x:c>
      <x:c r="D140" s="19" t="n">
        <x:v>1596727466</x:v>
      </x:c>
      <x:c r="E140" s="19" t="n">
        <x:v>308372377</x:v>
      </x:c>
      <x:c r="F140" s="19" t="n">
        <x:v>949603533</x:v>
      </x:c>
      <x:c r="G140" s="19" t="n">
        <x:v>196362317</x:v>
      </x:c>
      <x:c r="H140" s="19" t="n">
        <x:v>180836383</x:v>
      </x:c>
      <x:c r="I140" s="19" t="n">
        <x:v>91518499</x:v>
      </x:c>
      <x:c r="J140" s="19" t="n">
        <x:v>31655011</x:v>
      </x:c>
      <x:c r="K140" s="19" t="n">
        <x:v>448239808</x:v>
      </x:c>
    </x:row>
    <x:row r="141" ht="22" customHeight="1">
      <x:c r="A141" s="15" t="str">
        <x:v>Республика Корея</x:v>
      </x:c>
      <x:c r="B141" s="20" t="d">
        <x:v>2020-03-01T00:00:00.000Z</x:v>
      </x:c>
      <x:c r="C141" s="19" t="n">
        <x:v>2855853687</x:v>
      </x:c>
      <x:c r="D141" s="19" t="n">
        <x:v>1932489260</x:v>
      </x:c>
      <x:c r="E141" s="19" t="n">
        <x:v>356386814</x:v>
      </x:c>
      <x:c r="F141" s="19" t="n">
        <x:v>1012768167</x:v>
      </x:c>
      <x:c r="G141" s="19" t="n">
        <x:v>262216664</x:v>
      </x:c>
      <x:c r="H141" s="19" t="n">
        <x:v>206225298</x:v>
      </x:c>
      <x:c r="I141" s="19" t="n">
        <x:v>105280027</x:v>
      </x:c>
      <x:c r="J141" s="19" t="n">
        <x:v>32133333</x:v>
      </x:c>
      <x:c r="K141" s="19" t="n">
        <x:v>435565671</x:v>
      </x:c>
    </x:row>
    <x:row r="142" ht="22" customHeight="1">
      <x:c r="A142" s="15" t="str">
        <x:v>Республика Корея</x:v>
      </x:c>
      <x:c r="B142" s="20" t="d">
        <x:v>2020-04-01T00:00:00.000Z</x:v>
      </x:c>
      <x:c r="C142" s="19" t="n">
        <x:v>2801241737</x:v>
      </x:c>
      <x:c r="D142" s="19" t="n">
        <x:v>1347325655</x:v>
      </x:c>
      <x:c r="E142" s="19" t="n">
        <x:v>299674624</x:v>
      </x:c>
      <x:c r="F142" s="19" t="n">
        <x:v>481159598</x:v>
      </x:c>
      <x:c r="G142" s="19" t="n">
        <x:v>194810352</x:v>
      </x:c>
      <x:c r="H142" s="19" t="n">
        <x:v>229660011</x:v>
      </x:c>
      <x:c r="I142" s="19" t="n">
        <x:v>73155371</x:v>
      </x:c>
      <x:c r="J142" s="19" t="n">
        <x:v>31991237</x:v>
      </x:c>
      <x:c r="K142" s="19" t="n">
        <x:v>252619589</x:v>
      </x:c>
    </x:row>
    <x:row r="143" ht="22" customHeight="1">
      <x:c r="A143" s="15" t="str">
        <x:v>Республика Корея</x:v>
      </x:c>
      <x:c r="B143" s="20" t="d">
        <x:v>2020-05-01T00:00:00.000Z</x:v>
      </x:c>
      <x:c r="C143" s="19" t="n">
        <x:v>3449175817</x:v>
      </x:c>
      <x:c r="D143" s="19" t="n">
        <x:v>1328016689</x:v>
      </x:c>
      <x:c r="E143" s="19" t="n">
        <x:v>389450014</x:v>
      </x:c>
      <x:c r="F143" s="19" t="n">
        <x:v>592171121</x:v>
      </x:c>
      <x:c r="G143" s="19" t="n">
        <x:v>179261168</x:v>
      </x:c>
      <x:c r="H143" s="19" t="n">
        <x:v>272924151</x:v>
      </x:c>
      <x:c r="I143" s="19" t="n">
        <x:v>85319951</x:v>
      </x:c>
      <x:c r="J143" s="19" t="n">
        <x:v>29009293</x:v>
      </x:c>
      <x:c r="K143" s="19" t="n">
        <x:v>287417655</x:v>
      </x:c>
    </x:row>
    <x:row r="144" ht="22" customHeight="1">
      <x:c r="A144" s="15" t="str">
        <x:v>Республика Корея</x:v>
      </x:c>
      <x:c r="B144" s="20" t="d">
        <x:v>2020-06-01T00:00:00.000Z</x:v>
      </x:c>
      <x:c r="C144" s="19" t="n">
        <x:v>3096765267</x:v>
      </x:c>
      <x:c r="D144" s="19" t="n">
        <x:v>1394915255</x:v>
      </x:c>
      <x:c r="E144" s="19" t="n">
        <x:v>433621748</x:v>
      </x:c>
      <x:c r="F144" s="19" t="n">
        <x:v>775294167</x:v>
      </x:c>
      <x:c r="G144" s="19" t="n">
        <x:v>229547807</x:v>
      </x:c>
      <x:c r="H144" s="19" t="n">
        <x:v>231671153</x:v>
      </x:c>
      <x:c r="I144" s="19" t="n">
        <x:v>94082942</x:v>
      </x:c>
      <x:c r="J144" s="19" t="n">
        <x:v>41015628</x:v>
      </x:c>
      <x:c r="K144" s="19" t="n">
        <x:v>403972978</x:v>
      </x:c>
    </x:row>
    <x:row r="145" ht="22" customHeight="1">
      <x:c r="A145" s="15" t="str">
        <x:v>Республика Корея</x:v>
      </x:c>
      <x:c r="B145" s="20" t="d">
        <x:v>2020-07-01T00:00:00.000Z</x:v>
      </x:c>
      <x:c r="C145" s="19" t="n">
        <x:v>3194800370</x:v>
      </x:c>
      <x:c r="D145" s="19" t="n">
        <x:v>1061808230</x:v>
      </x:c>
      <x:c r="E145" s="19" t="n">
        <x:v>456253741</x:v>
      </x:c>
      <x:c r="F145" s="19" t="n">
        <x:v>911066435</x:v>
      </x:c>
      <x:c r="G145" s="19" t="n">
        <x:v>179693802</x:v>
      </x:c>
      <x:c r="H145" s="19" t="n">
        <x:v>238332328</x:v>
      </x:c>
      <x:c r="I145" s="19" t="n">
        <x:v>128624790</x:v>
      </x:c>
      <x:c r="J145" s="19" t="n">
        <x:v>37922376</x:v>
      </x:c>
      <x:c r="K145" s="19" t="n">
        <x:v>405918993</x:v>
      </x:c>
    </x:row>
    <x:row r="146" ht="22" customHeight="1">
      <x:c r="A146" s="15" t="str">
        <x:v>Республика Корея</x:v>
      </x:c>
      <x:c r="B146" s="20" t="d">
        <x:v>2020-08-01T00:00:00.000Z</x:v>
      </x:c>
      <x:c r="C146" s="19" t="n">
        <x:v>3260969469</x:v>
      </x:c>
      <x:c r="D146" s="19" t="n">
        <x:v>1165311140</x:v>
      </x:c>
      <x:c r="E146" s="19" t="n">
        <x:v>545853703</x:v>
      </x:c>
      <x:c r="F146" s="19" t="n">
        <x:v>1010456440</x:v>
      </x:c>
      <x:c r="G146" s="19" t="n">
        <x:v>148635748</x:v>
      </x:c>
      <x:c r="H146" s="19" t="n">
        <x:v>218867028</x:v>
      </x:c>
      <x:c r="I146" s="19" t="n">
        <x:v>138116510</x:v>
      </x:c>
      <x:c r="J146" s="19" t="n">
        <x:v>40617782</x:v>
      </x:c>
      <x:c r="K146" s="19" t="n">
        <x:v>482576075</x:v>
      </x:c>
    </x:row>
    <x:row r="147" ht="22" customHeight="1">
      <x:c r="A147" s="15" t="str">
        <x:v>Республика Корея</x:v>
      </x:c>
      <x:c r="B147" s="20" t="d">
        <x:v>2020-09-01T00:00:00.000Z</x:v>
      </x:c>
      <x:c r="C147" s="19" t="n">
        <x:v>3341406145</x:v>
      </x:c>
      <x:c r="D147" s="19" t="n">
        <x:v>1728483934</x:v>
      </x:c>
      <x:c r="E147" s="19" t="n">
        <x:v>666617325</x:v>
      </x:c>
      <x:c r="F147" s="19" t="n">
        <x:v>965561356</x:v>
      </x:c>
      <x:c r="G147" s="19" t="n">
        <x:v>164262253</x:v>
      </x:c>
      <x:c r="H147" s="19" t="n">
        <x:v>255205733</x:v>
      </x:c>
      <x:c r="I147" s="19" t="n">
        <x:v>113273550</x:v>
      </x:c>
      <x:c r="J147" s="19" t="n">
        <x:v>33610778</x:v>
      </x:c>
      <x:c r="K147" s="19" t="n">
        <x:v>553311127</x:v>
      </x:c>
    </x:row>
    <x:row r="148" ht="22" customHeight="1">
      <x:c r="A148" s="15" t="str">
        <x:v>Республика Корея</x:v>
      </x:c>
      <x:c r="B148" s="20" t="d">
        <x:v>2020-10-01T00:00:00.000Z</x:v>
      </x:c>
      <x:c r="C148" s="19" t="n">
        <x:v>3041460795</x:v>
      </x:c>
      <x:c r="D148" s="19" t="n">
        <x:v>1692898311</x:v>
      </x:c>
      <x:c r="E148" s="19" t="n">
        <x:v>683608498</x:v>
      </x:c>
      <x:c r="F148" s="19" t="n">
        <x:v>922852627</x:v>
      </x:c>
      <x:c r="G148" s="19" t="n">
        <x:v>170098366</x:v>
      </x:c>
      <x:c r="H148" s="19" t="n">
        <x:v>262829341</x:v>
      </x:c>
      <x:c r="I148" s="19" t="n">
        <x:v>98449637</x:v>
      </x:c>
      <x:c r="J148" s="19" t="n">
        <x:v>54744638</x:v>
      </x:c>
      <x:c r="K148" s="19" t="n">
        <x:v>501104672</x:v>
      </x:c>
    </x:row>
    <x:row r="149" ht="22" customHeight="1">
      <x:c r="A149" s="15" t="str">
        <x:v>Республика Корея</x:v>
      </x:c>
      <x:c r="B149" s="20" t="d">
        <x:v>2020-11-01T00:00:00.000Z</x:v>
      </x:c>
      <x:c r="C149" s="19" t="n">
        <x:v>2988623361</x:v>
      </x:c>
      <x:c r="D149" s="19" t="n">
        <x:v>1805220929</x:v>
      </x:c>
      <x:c r="E149" s="19" t="n">
        <x:v>709710634</x:v>
      </x:c>
      <x:c r="F149" s="19" t="n">
        <x:v>876800809</x:v>
      </x:c>
      <x:c r="G149" s="19" t="n">
        <x:v>163970556</x:v>
      </x:c>
      <x:c r="H149" s="19" t="n">
        <x:v>233599693</x:v>
      </x:c>
      <x:c r="I149" s="19" t="n">
        <x:v>73803495</x:v>
      </x:c>
      <x:c r="J149" s="19" t="n">
        <x:v>26493370</x:v>
      </x:c>
      <x:c r="K149" s="19" t="n">
        <x:v>459499934</x:v>
      </x:c>
    </x:row>
    <x:row r="150" ht="22" customHeight="1">
      <x:c r="A150" s="15" t="str">
        <x:v>Республика Корея</x:v>
      </x:c>
      <x:c r="B150" s="20" t="d">
        <x:v>2020-12-01T00:00:00.000Z</x:v>
      </x:c>
      <x:c r="C150" s="19" t="n">
        <x:v>3179444264</x:v>
      </x:c>
      <x:c r="D150" s="19" t="n">
        <x:v>2133345946</x:v>
      </x:c>
      <x:c r="E150" s="19" t="n">
        <x:v>733888192</x:v>
      </x:c>
      <x:c r="F150" s="19" t="n">
        <x:v>881416888</x:v>
      </x:c>
      <x:c r="G150" s="19" t="n">
        <x:v>202448094</x:v>
      </x:c>
      <x:c r="H150" s="19" t="n">
        <x:v>181765386</x:v>
      </x:c>
      <x:c r="I150" s="19" t="n">
        <x:v>86894531</x:v>
      </x:c>
      <x:c r="J150" s="19" t="n">
        <x:v>22737631</x:v>
      </x:c>
      <x:c r="K150" s="19" t="n">
        <x:v>406675507</x:v>
      </x:c>
    </x:row>
    <x:row r="151" ht="22" customHeight="1">
      <x:c r="A151" s="15" t="str">
        <x:v>Республика Корея</x:v>
      </x:c>
      <x:c r="B151" s="20" t="d">
        <x:v>2021-01-01T00:00:00.000Z</x:v>
      </x:c>
      <x:c r="C151" s="19" t="n">
        <x:v>3129581144</x:v>
      </x:c>
      <x:c r="D151" s="19" t="n">
        <x:v>1508618595</x:v>
      </x:c>
      <x:c r="E151" s="19" t="n">
        <x:v>677277535</x:v>
      </x:c>
      <x:c r="F151" s="19" t="n">
        <x:v>959425591</x:v>
      </x:c>
      <x:c r="G151" s="19" t="n">
        <x:v>192448090</x:v>
      </x:c>
      <x:c r="H151" s="19" t="n">
        <x:v>225710912</x:v>
      </x:c>
      <x:c r="I151" s="19" t="n">
        <x:v>86996972</x:v>
      </x:c>
      <x:c r="J151" s="19" t="n">
        <x:v>36057512</x:v>
      </x:c>
      <x:c r="K151" s="19" t="n">
        <x:v>521333240</x:v>
      </x:c>
    </x:row>
    <x:row r="152" ht="22" customHeight="1">
      <x:c r="A152" s="15" t="str">
        <x:v>Республика Корея</x:v>
      </x:c>
      <x:c r="B152" s="20" t="d">
        <x:v>2021-02-01T00:00:00.000Z</x:v>
      </x:c>
      <x:c r="C152" s="19" t="n">
        <x:v>2885591587</x:v>
      </x:c>
      <x:c r="D152" s="19" t="n">
        <x:v>1645816791</x:v>
      </x:c>
      <x:c r="E152" s="19" t="n">
        <x:v>696128410</x:v>
      </x:c>
      <x:c r="F152" s="19" t="n">
        <x:v>824096158</x:v>
      </x:c>
      <x:c r="G152" s="19" t="n">
        <x:v>216638258</x:v>
      </x:c>
      <x:c r="H152" s="19" t="n">
        <x:v>242370374</x:v>
      </x:c>
      <x:c r="I152" s="19" t="n">
        <x:v>89615117</x:v>
      </x:c>
      <x:c r="J152" s="19" t="n">
        <x:v>33600441</x:v>
      </x:c>
      <x:c r="K152" s="19" t="n">
        <x:v>535854808</x:v>
      </x:c>
    </x:row>
    <x:row r="153" ht="22" customHeight="1">
      <x:c r="A153" s="15" t="str">
        <x:v>Республика Корея</x:v>
      </x:c>
      <x:c r="B153" s="20" t="d">
        <x:v>2021-03-01T00:00:00.000Z</x:v>
      </x:c>
      <x:c r="C153" s="19" t="n">
        <x:v>3214896911</x:v>
      </x:c>
      <x:c r="D153" s="19" t="n">
        <x:v>2067658422</x:v>
      </x:c>
      <x:c r="E153" s="19" t="n">
        <x:v>733528933</x:v>
      </x:c>
      <x:c r="F153" s="19" t="n">
        <x:v>910859811</x:v>
      </x:c>
      <x:c r="G153" s="19" t="n">
        <x:v>281174838</x:v>
      </x:c>
      <x:c r="H153" s="19" t="n">
        <x:v>238211957</x:v>
      </x:c>
      <x:c r="I153" s="19" t="n">
        <x:v>103206263</x:v>
      </x:c>
      <x:c r="J153" s="19" t="n">
        <x:v>44927447</x:v>
      </x:c>
      <x:c r="K153" s="19" t="n">
        <x:v>515793360</x:v>
      </x:c>
    </x:row>
    <x:row r="154" ht="22" customHeight="1">
      <x:c r="A154" s="15" t="str">
        <x:v>Республика Корея</x:v>
      </x:c>
      <x:c r="B154" s="20" t="d">
        <x:v>2021-04-01T00:00:00.000Z</x:v>
      </x:c>
      <x:c r="C154" s="19" t="n">
        <x:v>3193528221</x:v>
      </x:c>
      <x:c r="D154" s="19" t="n">
        <x:v>1951011196</x:v>
      </x:c>
      <x:c r="E154" s="19" t="n">
        <x:v>708915281</x:v>
      </x:c>
      <x:c r="F154" s="19" t="n">
        <x:v>880204866</x:v>
      </x:c>
      <x:c r="G154" s="19" t="n">
        <x:v>255455690</x:v>
      </x:c>
      <x:c r="H154" s="19" t="n">
        <x:v>235801808</x:v>
      </x:c>
      <x:c r="I154" s="19" t="n">
        <x:v>78562818</x:v>
      </x:c>
      <x:c r="J154" s="19" t="n">
        <x:v>45666191</x:v>
      </x:c>
      <x:c r="K154" s="19" t="n">
        <x:v>502791205</x:v>
      </x:c>
    </x:row>
    <x:row r="155" ht="22" customHeight="1">
      <x:c r="A155" s="15" t="str">
        <x:v>Республика Корея</x:v>
      </x:c>
      <x:c r="B155" s="20" t="d">
        <x:v>2021-05-01T00:00:00.000Z</x:v>
      </x:c>
      <x:c r="C155" s="19" t="n">
        <x:v>3641463908</x:v>
      </x:c>
      <x:c r="D155" s="19" t="n">
        <x:v>2119996722</x:v>
      </x:c>
      <x:c r="E155" s="19" t="n">
        <x:v>802934752</x:v>
      </x:c>
      <x:c r="F155" s="19" t="n">
        <x:v>866817755</x:v>
      </x:c>
      <x:c r="G155" s="19" t="n">
        <x:v>301069416</x:v>
      </x:c>
      <x:c r="H155" s="19" t="n">
        <x:v>267187726</x:v>
      </x:c>
      <x:c r="I155" s="19" t="n">
        <x:v>122193464</x:v>
      </x:c>
      <x:c r="J155" s="19" t="n">
        <x:v>47115032</x:v>
      </x:c>
      <x:c r="K155" s="19" t="n">
        <x:v>462181390</x:v>
      </x:c>
    </x:row>
    <x:row r="156" ht="22" customHeight="1">
      <x:c r="A156" s="15" t="str">
        <x:v>Республика Корея</x:v>
      </x:c>
      <x:c r="B156" s="20" t="d">
        <x:v>2021-06-01T00:00:00.000Z</x:v>
      </x:c>
      <x:c r="C156" s="19" t="n">
        <x:v>4093569842</x:v>
      </x:c>
      <x:c r="D156" s="19" t="n">
        <x:v>2346889603</x:v>
      </x:c>
      <x:c r="E156" s="19" t="n">
        <x:v>807443574</x:v>
      </x:c>
      <x:c r="F156" s="19" t="n">
        <x:v>953378029</x:v>
      </x:c>
      <x:c r="G156" s="19" t="n">
        <x:v>285649053</x:v>
      </x:c>
      <x:c r="H156" s="19" t="n">
        <x:v>271608687</x:v>
      </x:c>
      <x:c r="I156" s="19" t="n">
        <x:v>126331495</x:v>
      </x:c>
      <x:c r="J156" s="19" t="n">
        <x:v>41672833</x:v>
      </x:c>
      <x:c r="K156" s="19" t="n">
        <x:v>551683326</x:v>
      </x:c>
    </x:row>
    <x:row r="157" ht="22" customHeight="1">
      <x:c r="A157" s="15" t="str">
        <x:v>Республика Корея</x:v>
      </x:c>
      <x:c r="B157" s="20" t="d">
        <x:v>2021-07-01T00:00:00.000Z</x:v>
      </x:c>
      <x:c r="C157" s="19" t="n">
        <x:v>4185296067</x:v>
      </x:c>
      <x:c r="D157" s="19" t="n">
        <x:v>1776381114</x:v>
      </x:c>
      <x:c r="E157" s="19" t="n">
        <x:v>824421176</x:v>
      </x:c>
      <x:c r="F157" s="19" t="n">
        <x:v>1064249234</x:v>
      </x:c>
      <x:c r="G157" s="19" t="n">
        <x:v>282775329</x:v>
      </x:c>
      <x:c r="H157" s="19" t="n">
        <x:v>358376784</x:v>
      </x:c>
      <x:c r="I157" s="19" t="n">
        <x:v>134031196</x:v>
      </x:c>
      <x:c r="J157" s="19" t="n">
        <x:v>39699655</x:v>
      </x:c>
      <x:c r="K157" s="19" t="n">
        <x:v>571483787</x:v>
      </x:c>
    </x:row>
    <x:row r="158" ht="22" customHeight="1">
      <x:c r="A158" s="15" t="str">
        <x:v>Республика Корея</x:v>
      </x:c>
      <x:c r="B158" s="20" t="d">
        <x:v>2021-08-01T00:00:00.000Z</x:v>
      </x:c>
      <x:c r="C158" s="19" t="n">
        <x:v>4171912871</x:v>
      </x:c>
      <x:c r="D158" s="19" t="n">
        <x:v>2190514814</x:v>
      </x:c>
      <x:c r="E158" s="19" t="n">
        <x:v>913822685</x:v>
      </x:c>
      <x:c r="F158" s="19" t="n">
        <x:v>1240865898</x:v>
      </x:c>
      <x:c r="G158" s="19" t="n">
        <x:v>269481876</x:v>
      </x:c>
      <x:c r="H158" s="19" t="n">
        <x:v>396634789</x:v>
      </x:c>
      <x:c r="I158" s="19" t="n">
        <x:v>149227475</x:v>
      </x:c>
      <x:c r="J158" s="19" t="n">
        <x:v>43953400</x:v>
      </x:c>
      <x:c r="K158" s="19" t="n">
        <x:v>621752559</x:v>
      </x:c>
    </x:row>
    <x:row r="159" ht="22" customHeight="1">
      <x:c r="A159" s="15" t="str">
        <x:v>Республика Корея</x:v>
      </x:c>
      <x:c r="B159" s="20" t="d">
        <x:v>2021-09-01T00:00:00.000Z</x:v>
      </x:c>
      <x:c r="C159" s="19" t="n">
        <x:v>4177290673</x:v>
      </x:c>
      <x:c r="D159" s="19" t="n">
        <x:v>2620991745</x:v>
      </x:c>
      <x:c r="E159" s="19" t="n">
        <x:v>953015587</x:v>
      </x:c>
      <x:c r="F159" s="19" t="n">
        <x:v>1309728190</x:v>
      </x:c>
      <x:c r="G159" s="19" t="n">
        <x:v>288440461</x:v>
      </x:c>
      <x:c r="H159" s="19" t="n">
        <x:v>376887756</x:v>
      </x:c>
      <x:c r="I159" s="19" t="n">
        <x:v>138166055</x:v>
      </x:c>
      <x:c r="J159" s="19" t="n">
        <x:v>49691535</x:v>
      </x:c>
      <x:c r="K159" s="19" t="n">
        <x:v>579045617</x:v>
      </x:c>
    </x:row>
    <x:row r="160" ht="22" customHeight="1">
      <x:c r="A160" s="15" t="str">
        <x:v>Республика Корея</x:v>
      </x:c>
      <x:c r="B160" s="20" t="d">
        <x:v>2021-10-01T00:00:00.000Z</x:v>
      </x:c>
      <x:c r="C160" s="19" t="n">
        <x:v>4309567640</x:v>
      </x:c>
      <x:c r="D160" s="19" t="n">
        <x:v>1729332634</x:v>
      </x:c>
      <x:c r="E160" s="19" t="n">
        <x:v>950257921</x:v>
      </x:c>
      <x:c r="F160" s="19" t="n">
        <x:v>1174284788</x:v>
      </x:c>
      <x:c r="G160" s="19" t="n">
        <x:v>293314598</x:v>
      </x:c>
      <x:c r="H160" s="19" t="n">
        <x:v>368473409</x:v>
      </x:c>
      <x:c r="I160" s="19" t="n">
        <x:v>133361335</x:v>
      </x:c>
      <x:c r="J160" s="19" t="n">
        <x:v>64621948</x:v>
      </x:c>
      <x:c r="K160" s="19" t="n">
        <x:v>558403068</x:v>
      </x:c>
    </x:row>
    <x:row r="161" ht="22" customHeight="1">
      <x:c r="A161" s="15" t="str">
        <x:v>Республика Корея</x:v>
      </x:c>
      <x:c r="B161" s="20" t="d">
        <x:v>2021-11-01T00:00:00.000Z</x:v>
      </x:c>
      <x:c r="C161" s="19" t="n">
        <x:v>4671121832</x:v>
      </x:c>
      <x:c r="D161" s="19" t="n">
        <x:v>1904122425</x:v>
      </x:c>
      <x:c r="E161" s="19" t="n">
        <x:v>993566010</x:v>
      </x:c>
      <x:c r="F161" s="19" t="n">
        <x:v>1291993677</x:v>
      </x:c>
      <x:c r="G161" s="19" t="n">
        <x:v>322589262</x:v>
      </x:c>
      <x:c r="H161" s="19" t="n">
        <x:v>328109248</x:v>
      </x:c>
      <x:c r="I161" s="19" t="n">
        <x:v>133301298</x:v>
      </x:c>
      <x:c r="J161" s="19" t="n">
        <x:v>59359823</x:v>
      </x:c>
      <x:c r="K161" s="19" t="n">
        <x:v>589363331</x:v>
      </x:c>
    </x:row>
    <x:row r="162" ht="22" customHeight="1">
      <x:c r="A162" s="15" t="str">
        <x:v>Республика Корея</x:v>
      </x:c>
      <x:c r="B162" s="20" t="d">
        <x:v>2021-12-01T00:00:00.000Z</x:v>
      </x:c>
      <x:c r="C162" s="19" t="n">
        <x:v>4697394145</x:v>
      </x:c>
      <x:c r="D162" s="19" t="n">
        <x:v>2249213692</x:v>
      </x:c>
      <x:c r="E162" s="19" t="n">
        <x:v>966491863</x:v>
      </x:c>
      <x:c r="F162" s="19" t="n">
        <x:v>1299720827</x:v>
      </x:c>
      <x:c r="G162" s="19" t="n">
        <x:v>422346058</x:v>
      </x:c>
      <x:c r="H162" s="19" t="n">
        <x:v>322316757</x:v>
      </x:c>
      <x:c r="I162" s="19" t="n">
        <x:v>115432387</x:v>
      </x:c>
      <x:c r="J162" s="19" t="n">
        <x:v>68928295</x:v>
      </x:c>
      <x:c r="K162" s="19" t="n">
        <x:v>571727121</x:v>
      </x:c>
    </x:row>
    <x:row r="163" ht="22" customHeight="1">
      <x:c r="A163" s="15" t="str">
        <x:v>Республика Корея</x:v>
      </x:c>
      <x:c r="B163" s="20" t="d">
        <x:v>2022-01-01T00:00:00.000Z</x:v>
      </x:c>
      <x:c r="C163" s="19" t="n">
        <x:v>4294315073</x:v>
      </x:c>
      <x:c r="D163" s="19" t="n">
        <x:v>1428628933</x:v>
      </x:c>
      <x:c r="E163" s="19" t="n">
        <x:v>852038186</x:v>
      </x:c>
      <x:c r="F163" s="19" t="n">
        <x:v>1287906585</x:v>
      </x:c>
      <x:c r="G163" s="19" t="n">
        <x:v>382622955</x:v>
      </x:c>
      <x:c r="H163" s="19" t="n">
        <x:v>347659900</x:v>
      </x:c>
      <x:c r="I163" s="19" t="n">
        <x:v>101823234</x:v>
      </x:c>
      <x:c r="J163" s="19" t="n">
        <x:v>79167279</x:v>
      </x:c>
      <x:c r="K163" s="19" t="n">
        <x:v>628529808</x:v>
      </x:c>
    </x:row>
    <x:row r="164" ht="22" customHeight="1">
      <x:c r="A164" s="15" t="str">
        <x:v>Республика Корея</x:v>
      </x:c>
      <x:c r="B164" s="20" t="d">
        <x:v>2022-02-01T00:00:00.000Z</x:v>
      </x:c>
      <x:c r="C164" s="19" t="n">
        <x:v>3932966338</x:v>
      </x:c>
      <x:c r="D164" s="19" t="n">
        <x:v>1407459340</x:v>
      </x:c>
      <x:c r="E164" s="19" t="n">
        <x:v>914171515</x:v>
      </x:c>
      <x:c r="F164" s="19" t="n">
        <x:v>1220960824</x:v>
      </x:c>
      <x:c r="G164" s="19" t="n">
        <x:v>360751973</x:v>
      </x:c>
      <x:c r="H164" s="19" t="n">
        <x:v>324973356</x:v>
      </x:c>
      <x:c r="I164" s="19" t="n">
        <x:v>92185794</x:v>
      </x:c>
      <x:c r="J164" s="19" t="n">
        <x:v>42642842</x:v>
      </x:c>
      <x:c r="K164" s="19" t="n">
        <x:v>623391588</x:v>
      </x:c>
    </x:row>
    <x:row r="165" ht="22" customHeight="1">
      <x:c r="A165" s="15" t="str">
        <x:v>Республика Корея</x:v>
      </x:c>
      <x:c r="B165" s="20" t="d">
        <x:v>2022-03-01T00:00:00.000Z</x:v>
      </x:c>
      <x:c r="C165" s="19" t="n">
        <x:v>5106855678</x:v>
      </x:c>
      <x:c r="D165" s="19" t="n">
        <x:v>1756826789</x:v>
      </x:c>
      <x:c r="E165" s="19" t="n">
        <x:v>1145711328</x:v>
      </x:c>
      <x:c r="F165" s="19" t="n">
        <x:v>1503720717</x:v>
      </x:c>
      <x:c r="G165" s="19" t="n">
        <x:v>461398193</x:v>
      </x:c>
      <x:c r="H165" s="19" t="n">
        <x:v>281860453</x:v>
      </x:c>
      <x:c r="I165" s="19" t="n">
        <x:v>112807098</x:v>
      </x:c>
      <x:c r="J165" s="19" t="n">
        <x:v>75346399</x:v>
      </x:c>
      <x:c r="K165" s="19" t="n">
        <x:v>779708748</x:v>
      </x:c>
    </x:row>
    <x:row r="166" ht="22" customHeight="1">
      <x:c r="A166" s="15" t="str">
        <x:v>Республика Корея</x:v>
      </x:c>
      <x:c r="B166" s="20" t="d">
        <x:v>2022-04-01T00:00:00.000Z</x:v>
      </x:c>
      <x:c r="C166" s="19" t="n">
        <x:v>3817437953</x:v>
      </x:c>
      <x:c r="D166" s="19" t="n">
        <x:v>1484607069</x:v>
      </x:c>
      <x:c r="E166" s="19" t="n">
        <x:v>1022122049</x:v>
      </x:c>
      <x:c r="F166" s="19" t="n">
        <x:v>1241909467</x:v>
      </x:c>
      <x:c r="G166" s="19" t="n">
        <x:v>480664433</x:v>
      </x:c>
      <x:c r="H166" s="19" t="n">
        <x:v>356549845</x:v>
      </x:c>
      <x:c r="I166" s="19" t="n">
        <x:v>112648981</x:v>
      </x:c>
      <x:c r="J166" s="19" t="n">
        <x:v>58884655</x:v>
      </x:c>
      <x:c r="K166" s="19" t="n">
        <x:v>753081951</x:v>
      </x:c>
    </x:row>
    <x:row r="167" ht="22" customHeight="1">
      <x:c r="A167" s="15" t="str">
        <x:v>Республика Корея</x:v>
      </x:c>
      <x:c r="B167" s="20" t="d">
        <x:v>2022-05-01T00:00:00.000Z</x:v>
      </x:c>
      <x:c r="C167" s="19" t="n">
        <x:v>4019603158</x:v>
      </x:c>
      <x:c r="D167" s="19" t="n">
        <x:v>1750362724</x:v>
      </x:c>
      <x:c r="E167" s="19" t="n">
        <x:v>1148272711</x:v>
      </x:c>
      <x:c r="F167" s="19" t="n">
        <x:v>1303100213</x:v>
      </x:c>
      <x:c r="G167" s="19" t="n">
        <x:v>446828476</x:v>
      </x:c>
      <x:c r="H167" s="19" t="n">
        <x:v>326413187</x:v>
      </x:c>
      <x:c r="I167" s="19" t="n">
        <x:v>90551146</x:v>
      </x:c>
      <x:c r="J167" s="19" t="n">
        <x:v>42142103</x:v>
      </x:c>
      <x:c r="K167" s="19" t="n">
        <x:v>732771801</x:v>
      </x:c>
    </x:row>
    <x:row r="168" ht="22" customHeight="1">
      <x:c r="A168" s="15" t="str">
        <x:v>Республика Корея</x:v>
      </x:c>
      <x:c r="B168" s="20" t="d">
        <x:v>2022-06-01T00:00:00.000Z</x:v>
      </x:c>
      <x:c r="C168" s="19" t="n">
        <x:v>4643254023</x:v>
      </x:c>
      <x:c r="D168" s="19" t="n">
        <x:v>1858829120</x:v>
      </x:c>
      <x:c r="E168" s="19" t="n">
        <x:v>1103150455</x:v>
      </x:c>
      <x:c r="F168" s="19" t="n">
        <x:v>1235014974</x:v>
      </x:c>
      <x:c r="G168" s="19" t="n">
        <x:v>482113831</x:v>
      </x:c>
      <x:c r="H168" s="19" t="n">
        <x:v>438387722</x:v>
      </x:c>
      <x:c r="I168" s="19" t="n">
        <x:v>109015460</x:v>
      </x:c>
      <x:c r="J168" s="19" t="n">
        <x:v>58975786</x:v>
      </x:c>
      <x:c r="K168" s="19" t="n">
        <x:v>640017831</x:v>
      </x:c>
    </x:row>
    <x:row r="169" ht="22" customHeight="1">
      <x:c r="A169" s="15" t="str">
        <x:v>Республика Корея</x:v>
      </x:c>
      <x:c r="B169" s="20" t="d">
        <x:v>2022-07-01T00:00:00.000Z</x:v>
      </x:c>
      <x:c r="C169" s="19" t="n">
        <x:v>5027732324</x:v>
      </x:c>
      <x:c r="D169" s="19" t="n">
        <x:v>962805658</x:v>
      </x:c>
      <x:c r="E169" s="19" t="n">
        <x:v>927790596</x:v>
      </x:c>
      <x:c r="F169" s="19" t="n">
        <x:v>1278351252</x:v>
      </x:c>
      <x:c r="G169" s="19" t="n">
        <x:v>594123338</x:v>
      </x:c>
      <x:c r="H169" s="19" t="n">
        <x:v>344248299</x:v>
      </x:c>
      <x:c r="I169" s="19" t="n">
        <x:v>134360121</x:v>
      </x:c>
      <x:c r="J169" s="19" t="n">
        <x:v>68552881</x:v>
      </x:c>
      <x:c r="K169" s="19" t="n">
        <x:v>610703043</x:v>
      </x:c>
    </x:row>
    <x:row r="170" ht="22" customHeight="1">
      <x:c r="A170" s="15" t="str">
        <x:v>Республика Корея</x:v>
      </x:c>
      <x:c r="B170" s="20" t="d">
        <x:v>2022-08-01T00:00:00.000Z</x:v>
      </x:c>
      <x:c r="C170" s="19" t="n">
        <x:v>4132731934</x:v>
      </x:c>
      <x:c r="D170" s="19" t="n">
        <x:v>1223027006</x:v>
      </x:c>
      <x:c r="E170" s="19" t="n">
        <x:v>1148147438</x:v>
      </x:c>
      <x:c r="F170" s="19" t="n">
        <x:v>1263985737</x:v>
      </x:c>
      <x:c r="G170" s="19" t="n">
        <x:v>563890768</x:v>
      </x:c>
      <x:c r="H170" s="19" t="n">
        <x:v>294901548</x:v>
      </x:c>
      <x:c r="I170" s="19" t="n">
        <x:v>133774736</x:v>
      </x:c>
      <x:c r="J170" s="19" t="n">
        <x:v>45564931</x:v>
      </x:c>
      <x:c r="K170" s="19" t="n">
        <x:v>818196739</x:v>
      </x:c>
    </x:row>
    <x:row r="171" ht="22" customHeight="1">
      <x:c r="A171" s="15" t="str">
        <x:v>Республика Корея</x:v>
      </x:c>
      <x:c r="B171" s="20" t="d">
        <x:v>2022-09-01T00:00:00.000Z</x:v>
      </x:c>
      <x:c r="C171" s="19" t="n">
        <x:v>4263636901</x:v>
      </x:c>
      <x:c r="D171" s="19" t="n">
        <x:v>1790019205</x:v>
      </x:c>
      <x:c r="E171" s="19" t="n">
        <x:v>984623895</x:v>
      </x:c>
      <x:c r="F171" s="19" t="n">
        <x:v>1200539352</x:v>
      </x:c>
      <x:c r="G171" s="19" t="n">
        <x:v>398619234</x:v>
      </x:c>
      <x:c r="H171" s="19" t="n">
        <x:v>253342197</x:v>
      </x:c>
      <x:c r="I171" s="19" t="n">
        <x:v>147553171</x:v>
      </x:c>
      <x:c r="J171" s="19" t="n">
        <x:v>55670719</x:v>
      </x:c>
      <x:c r="K171" s="19" t="n">
        <x:v>741928830</x:v>
      </x:c>
    </x:row>
    <x:row r="172" ht="22" customHeight="1">
      <x:c r="A172" s="15" t="str">
        <x:v>Республика Корея</x:v>
      </x:c>
      <x:c r="B172" s="20" t="d">
        <x:v>2022-10-01T00:00:00.000Z</x:v>
      </x:c>
      <x:c r="C172" s="19" t="n">
        <x:v>3413004945</x:v>
      </x:c>
      <x:c r="D172" s="19" t="n">
        <x:v>1320067497</x:v>
      </x:c>
      <x:c r="E172" s="19" t="n">
        <x:v>799307326</x:v>
      </x:c>
      <x:c r="F172" s="19" t="n">
        <x:v>1350638048</x:v>
      </x:c>
      <x:c r="G172" s="19" t="n">
        <x:v>435018334</x:v>
      </x:c>
      <x:c r="H172" s="19" t="n">
        <x:v>230659503</x:v>
      </x:c>
      <x:c r="I172" s="19" t="n">
        <x:v>90660444</x:v>
      </x:c>
      <x:c r="J172" s="19" t="n">
        <x:v>66241235</x:v>
      </x:c>
      <x:c r="K172" s="19" t="n">
        <x:v>633483034</x:v>
      </x:c>
    </x:row>
    <x:row r="173" ht="22" customHeight="1">
      <x:c r="A173" s="15" t="str">
        <x:v>Республика Корея</x:v>
      </x:c>
      <x:c r="B173" s="20" t="d">
        <x:v>2022-11-01T00:00:00.000Z</x:v>
      </x:c>
      <x:c r="C173" s="19" t="n">
        <x:v>3034996050</x:v>
      </x:c>
      <x:c r="D173" s="19" t="n">
        <x:v>1101769492</x:v>
      </x:c>
      <x:c r="E173" s="19" t="n">
        <x:v>878199586</x:v>
      </x:c>
      <x:c r="F173" s="19" t="n">
        <x:v>1192086956</x:v>
      </x:c>
      <x:c r="G173" s="19" t="n">
        <x:v>489992057</x:v>
      </x:c>
      <x:c r="H173" s="19" t="n">
        <x:v>181633221</x:v>
      </x:c>
      <x:c r="I173" s="19" t="n">
        <x:v>95653287</x:v>
      </x:c>
      <x:c r="J173" s="19" t="n">
        <x:v>57073787</x:v>
      </x:c>
      <x:c r="K173" s="19" t="n">
        <x:v>623948221</x:v>
      </x:c>
    </x:row>
    <x:row r="174" ht="22" customHeight="1">
      <x:c r="A174" s="15" t="str">
        <x:v>Республика Корея</x:v>
      </x:c>
      <x:c r="B174" s="20" t="d">
        <x:v>2022-12-01T00:00:00.000Z</x:v>
      </x:c>
      <x:c r="C174" s="19" t="n">
        <x:v>3012311263</x:v>
      </x:c>
      <x:c r="D174" s="19" t="n">
        <x:v>1075770895</x:v>
      </x:c>
      <x:c r="E174" s="19" t="n">
        <x:v>802307804</x:v>
      </x:c>
      <x:c r="F174" s="19" t="n">
        <x:v>1379566940</x:v>
      </x:c>
      <x:c r="G174" s="19" t="n">
        <x:v>437775553</x:v>
      </x:c>
      <x:c r="H174" s="19" t="n">
        <x:v>180817906</x:v>
      </x:c>
      <x:c r="I174" s="19" t="n">
        <x:v>56906456</x:v>
      </x:c>
      <x:c r="J174" s="19" t="n">
        <x:v>47136389</x:v>
      </x:c>
      <x:c r="K174" s="19" t="n">
        <x:v>684345531</x:v>
      </x:c>
    </x:row>
    <x:row r="175" ht="22" customHeight="1">
      <x:c r="A175" s="15" t="str">
        <x:v>Республика Корея</x:v>
      </x:c>
      <x:c r="B175" s="20" t="d">
        <x:v>2023-01-01T00:00:00.000Z</x:v>
      </x:c>
      <x:c r="C175" s="19" t="n">
        <x:v>2339492149</x:v>
      </x:c>
      <x:c r="D175" s="19" t="n">
        <x:v>611849934</x:v>
      </x:c>
      <x:c r="E175" s="19" t="n">
        <x:v>466891701</x:v>
      </x:c>
      <x:c r="F175" s="19" t="n">
        <x:v>844340392</x:v>
      </x:c>
      <x:c r="G175" s="19" t="n">
        <x:v>325654370</x:v>
      </x:c>
      <x:c r="H175" s="19" t="n">
        <x:v>129170882</x:v>
      </x:c>
      <x:c r="I175" s="19" t="n">
        <x:v>58858315</x:v>
      </x:c>
      <x:c r="J175" s="19" t="n">
        <x:v>50480407</x:v>
      </x:c>
      <x:c r="K175" s="19" t="n">
        <x:v>559466204</x:v>
      </x:c>
    </x:row>
    <x:row r="176" ht="22" customHeight="1">
      <x:c r="A176" s="15" t="str">
        <x:v>Республика Корея</x:v>
      </x:c>
      <x:c r="B176" s="20" t="d">
        <x:v>2023-02-01T00:00:00.000Z</x:v>
      </x:c>
      <x:c r="C176" s="19" t="n">
        <x:v>2385295353</x:v>
      </x:c>
      <x:c r="D176" s="19" t="n">
        <x:v>569822473</x:v>
      </x:c>
      <x:c r="E176" s="19" t="n">
        <x:v>487673343</x:v>
      </x:c>
      <x:c r="F176" s="19" t="n">
        <x:v>773205553</x:v>
      </x:c>
      <x:c r="G176" s="19" t="n">
        <x:v>221889622</x:v>
      </x:c>
      <x:c r="H176" s="19" t="n">
        <x:v>129180296</x:v>
      </x:c>
      <x:c r="I176" s="19" t="n">
        <x:v>53290875</x:v>
      </x:c>
      <x:c r="J176" s="19" t="n">
        <x:v>49273326</x:v>
      </x:c>
      <x:c r="K176" s="19" t="n">
        <x:v>629259382</x:v>
      </x:c>
    </x:row>
    <x:row r="177" ht="22" customHeight="1">
      <x:c r="A177" s="15" t="str">
        <x:v>Республика Корея</x:v>
      </x:c>
      <x:c r="B177" s="20" t="d">
        <x:v>2023-03-01T00:00:00.000Z</x:v>
      </x:c>
      <x:c r="C177" s="19" t="n">
        <x:v>2560387655</x:v>
      </x:c>
      <x:c r="D177" s="19" t="n">
        <x:v>1364495927</x:v>
      </x:c>
      <x:c r="E177" s="19" t="n">
        <x:v>678318451</x:v>
      </x:c>
      <x:c r="F177" s="19" t="n">
        <x:v>1277144932</x:v>
      </x:c>
      <x:c r="G177" s="19" t="n">
        <x:v>280492851</x:v>
      </x:c>
      <x:c r="H177" s="19" t="n">
        <x:v>159655454</x:v>
      </x:c>
      <x:c r="I177" s="19" t="n">
        <x:v>71962120</x:v>
      </x:c>
      <x:c r="J177" s="19" t="n">
        <x:v>50751048</x:v>
      </x:c>
      <x:c r="K177" s="19" t="n">
        <x:v>928797964</x:v>
      </x:c>
    </x:row>
    <x:row r="178" ht="22" customHeight="1">
      <x:c r="A178" s="15" t="str">
        <x:v>Республика Корея</x:v>
      </x:c>
      <x:c r="B178" s="20" t="d">
        <x:v>2023-04-01T00:00:00.000Z</x:v>
      </x:c>
      <x:c r="C178" s="19" t="n">
        <x:v>2527726235</x:v>
      </x:c>
      <x:c r="D178" s="19" t="n">
        <x:v>806744819</x:v>
      </x:c>
      <x:c r="E178" s="19" t="n">
        <x:v>598648745</x:v>
      </x:c>
      <x:c r="F178" s="19" t="n">
        <x:v>792894409</x:v>
      </x:c>
      <x:c r="G178" s="19" t="n">
        <x:v>280505897</x:v>
      </x:c>
      <x:c r="H178" s="19" t="n">
        <x:v>152238970</x:v>
      </x:c>
      <x:c r="I178" s="19" t="n">
        <x:v>52601822</x:v>
      </x:c>
      <x:c r="J178" s="19" t="n">
        <x:v>50996991</x:v>
      </x:c>
      <x:c r="K178" s="19" t="n">
        <x:v>469661156</x:v>
      </x:c>
    </x:row>
    <x:row r="179" ht="22" customHeight="1">
      <x:c r="A179" s="15" t="str">
        <x:v>Республика Корея</x:v>
      </x:c>
      <x:c r="B179" s="20" t="d">
        <x:v>2023-05-01T00:00:00.000Z</x:v>
      </x:c>
      <x:c r="C179" s="19" t="n">
        <x:v>2710146766</x:v>
      </x:c>
      <x:c r="D179" s="19" t="n">
        <x:v>1214709007</x:v>
      </x:c>
      <x:c r="E179" s="19" t="n">
        <x:v>647934837</x:v>
      </x:c>
      <x:c r="F179" s="19" t="n">
        <x:v>790210390</x:v>
      </x:c>
      <x:c r="G179" s="19" t="n">
        <x:v>335171584</x:v>
      </x:c>
      <x:c r="H179" s="19" t="n">
        <x:v>150960055</x:v>
      </x:c>
      <x:c r="I179" s="19" t="n">
        <x:v>82218634</x:v>
      </x:c>
      <x:c r="J179" s="19" t="n">
        <x:v>48454121</x:v>
      </x:c>
      <x:c r="K179" s="19" t="n">
        <x:v>677697761</x:v>
      </x:c>
    </x:row>
    <x:row r="180" ht="22" customHeight="1">
      <x:c r="A180" s="15" t="str">
        <x:v>Республика Корея</x:v>
      </x:c>
      <x:c r="B180" s="20" t="d">
        <x:v>2023-06-01T00:00:00.000Z</x:v>
      </x:c>
      <x:c r="C180" s="19" t="n">
        <x:v>2911454633</x:v>
      </x:c>
      <x:c r="D180" s="19" t="n">
        <x:v>1683478647</x:v>
      </x:c>
      <x:c r="E180" s="19" t="n">
        <x:v>897333178</x:v>
      </x:c>
      <x:c r="F180" s="19" t="n">
        <x:v>970859718</x:v>
      </x:c>
      <x:c r="G180" s="19" t="n">
        <x:v>423935167</x:v>
      </x:c>
      <x:c r="H180" s="19" t="n">
        <x:v>94330032</x:v>
      </x:c>
      <x:c r="I180" s="19" t="n">
        <x:v>63872340</x:v>
      </x:c>
      <x:c r="J180" s="19" t="n">
        <x:v>61864280</x:v>
      </x:c>
      <x:c r="K180" s="19" t="n">
        <x:v>698430315</x:v>
      </x:c>
    </x:row>
    <x:row r="181" ht="22" customHeight="1">
      <x:c r="A181" s="15" t="str">
        <x:v>Республика Корея</x:v>
      </x:c>
      <x:c r="B181" s="20" t="d">
        <x:v>2023-07-01T00:00:00.000Z</x:v>
      </x:c>
      <x:c r="C181" s="19" t="n">
        <x:v>2716541805</x:v>
      </x:c>
      <x:c r="D181" s="19" t="n">
        <x:v>1189572459</x:v>
      </x:c>
      <x:c r="E181" s="19" t="n">
        <x:v>636466545</x:v>
      </x:c>
      <x:c r="F181" s="19" t="n">
        <x:v>677270642</x:v>
      </x:c>
      <x:c r="G181" s="19" t="n">
        <x:v>391939204</x:v>
      </x:c>
      <x:c r="H181" s="19" t="n">
        <x:v>100916617</x:v>
      </x:c>
      <x:c r="I181" s="19" t="n">
        <x:v>68150118</x:v>
      </x:c>
      <x:c r="J181" s="19" t="n">
        <x:v>55289544</x:v>
      </x:c>
      <x:c r="K181" s="19" t="n">
        <x:v>680426450</x:v>
      </x:c>
    </x:row>
    <x:row r="182" ht="22" customHeight="1">
      <x:c r="A182" s="15" t="str">
        <x:v>Республика Корея</x:v>
      </x:c>
      <x:c r="B182" s="20" t="d">
        <x:v>2023-08-01T00:00:00.000Z</x:v>
      </x:c>
      <x:c r="C182" s="19" t="n">
        <x:v>2847647825</x:v>
      </x:c>
      <x:c r="D182" s="19" t="n">
        <x:v>1441723112</x:v>
      </x:c>
      <x:c r="E182" s="19" t="n">
        <x:v>835093758</x:v>
      </x:c>
      <x:c r="F182" s="19" t="n">
        <x:v>1013283383</x:v>
      </x:c>
      <x:c r="G182" s="19" t="n">
        <x:v>505488923</x:v>
      </x:c>
      <x:c r="H182" s="19" t="n">
        <x:v>163273684</x:v>
      </x:c>
      <x:c r="I182" s="19" t="n">
        <x:v>85305712</x:v>
      </x:c>
      <x:c r="J182" s="19" t="n">
        <x:v>41861344</x:v>
      </x:c>
      <x:c r="K182" s="19" t="n">
        <x:v>751141155</x:v>
      </x:c>
    </x:row>
    <x:row r="183" ht="22" customHeight="1">
      <x:c r="A183" s="15" t="str">
        <x:v>Республика Корея</x:v>
      </x:c>
      <x:c r="B183" s="20" t="d">
        <x:v>2023-09-01T00:00:00.000Z</x:v>
      </x:c>
      <x:c r="C183" s="19" t="n">
        <x:v>2967740018</x:v>
      </x:c>
      <x:c r="D183" s="19" t="n">
        <x:v>1745744368</x:v>
      </x:c>
      <x:c r="E183" s="19" t="n">
        <x:v>1141962876</x:v>
      </x:c>
      <x:c r="F183" s="19" t="n">
        <x:v>1142576522</x:v>
      </x:c>
      <x:c r="G183" s="19" t="n">
        <x:v>511504158</x:v>
      </x:c>
      <x:c r="H183" s="19" t="n">
        <x:v>108574535</x:v>
      </x:c>
      <x:c r="I183" s="19" t="n">
        <x:v>49047993</x:v>
      </x:c>
      <x:c r="J183" s="19" t="n">
        <x:v>48732522</x:v>
      </x:c>
      <x:c r="K183" s="19" t="n">
        <x:v>697162063</x:v>
      </x:c>
    </x:row>
    <x:row r="184" ht="22" customHeight="1">
      <x:c r="A184" s="15" t="str">
        <x:v>Республика Корея</x:v>
      </x:c>
      <x:c r="B184" s="20" t="d">
        <x:v>2023-10-01T00:00:00.000Z</x:v>
      </x:c>
      <x:c r="C184" s="19" t="n">
        <x:v>3006421223</x:v>
      </x:c>
      <x:c r="D184" s="19" t="n">
        <x:v>1657639576</x:v>
      </x:c>
      <x:c r="E184" s="19" t="n">
        <x:v>800289876</x:v>
      </x:c>
      <x:c r="F184" s="19" t="n">
        <x:v>1047994975</x:v>
      </x:c>
      <x:c r="G184" s="19" t="n">
        <x:v>383168679</x:v>
      </x:c>
      <x:c r="H184" s="19" t="n">
        <x:v>119510860</x:v>
      </x:c>
      <x:c r="I184" s="19" t="n">
        <x:v>39831491</x:v>
      </x:c>
      <x:c r="J184" s="19" t="n">
        <x:v>54093636</x:v>
      </x:c>
      <x:c r="K184" s="19" t="n">
        <x:v>694126253</x:v>
      </x:c>
    </x:row>
    <x:row r="185" ht="22" customHeight="1">
      <x:c r="A185" s="15" t="str">
        <x:v>Республика Корея</x:v>
      </x:c>
      <x:c r="B185" s="20" t="d">
        <x:v>2023-11-01T00:00:00.000Z</x:v>
      </x:c>
      <x:c r="C185" s="19" t="n">
        <x:v>3130765681</x:v>
      </x:c>
      <x:c r="D185" s="19" t="n">
        <x:v>1940862209</x:v>
      </x:c>
      <x:c r="E185" s="19" t="n">
        <x:v>719729722</x:v>
      </x:c>
      <x:c r="F185" s="19" t="n">
        <x:v>1119977613</x:v>
      </x:c>
      <x:c r="G185" s="19" t="n">
        <x:v>333981309</x:v>
      </x:c>
      <x:c r="H185" s="19" t="n">
        <x:v>111524681</x:v>
      </x:c>
      <x:c r="I185" s="19" t="n">
        <x:v>43129313</x:v>
      </x:c>
      <x:c r="J185" s="19" t="n">
        <x:v>50976424</x:v>
      </x:c>
      <x:c r="K185" s="19" t="n">
        <x:v>685955503</x:v>
      </x:c>
    </x:row>
    <x:row r="186" ht="22" customHeight="1">
      <x:c r="A186" s="15" t="str">
        <x:v>Республика Корея</x:v>
      </x:c>
      <x:c r="B186" s="20" t="d">
        <x:v>2023-12-01T00:00:00.000Z</x:v>
      </x:c>
      <x:c r="C186" s="19" t="n">
        <x:v>2998261538</x:v>
      </x:c>
      <x:c r="D186" s="19" t="n">
        <x:v>2247289093</x:v>
      </x:c>
      <x:c r="E186" s="19" t="n">
        <x:v>1018354488</x:v>
      </x:c>
      <x:c r="F186" s="19" t="n">
        <x:v>1380170601</x:v>
      </x:c>
      <x:c r="G186" s="19" t="n">
        <x:v>303460773</x:v>
      </x:c>
      <x:c r="H186" s="19" t="n">
        <x:v>119892407</x:v>
      </x:c>
      <x:c r="I186" s="19" t="n">
        <x:v>45749548</x:v>
      </x:c>
      <x:c r="J186" s="19" t="n">
        <x:v>45755572</x:v>
      </x:c>
      <x:c r="K186" s="19" t="n">
        <x:v>822118895</x:v>
      </x:c>
    </x:row>
    <x:row r="187" ht="22" customHeight="1">
      <x:c r="A187" s="15" t="str">
        <x:v>Республика Корея</x:v>
      </x:c>
      <x:c r="B187" s="20" t="d">
        <x:v>2024-01-01T00:00:00.000Z</x:v>
      </x:c>
      <x:c r="C187" s="19" t="n">
        <x:v>3294081213</x:v>
      </x:c>
      <x:c r="D187" s="19" t="n">
        <x:v>1858924610</x:v>
      </x:c>
      <x:c r="E187" s="19" t="n">
        <x:v>785571026</x:v>
      </x:c>
      <x:c r="F187" s="19" t="n">
        <x:v>1075550958</x:v>
      </x:c>
      <x:c r="G187" s="19" t="n">
        <x:v>267125867</x:v>
      </x:c>
      <x:c r="H187" s="19" t="n">
        <x:v>123649296</x:v>
      </x:c>
      <x:c r="I187" s="19" t="n">
        <x:v>60020714</x:v>
      </x:c>
      <x:c r="J187" s="19" t="n">
        <x:v>53904185</x:v>
      </x:c>
      <x:c r="K187" s="19" t="n">
        <x:v>655583545</x:v>
      </x:c>
    </x:row>
    <x:row r="188" ht="22" customHeight="1">
      <x:c r="A188" s="15" t="str">
        <x:v>Республика Корея</x:v>
      </x:c>
      <x:c r="B188" s="20" t="d">
        <x:v>2024-02-01T00:00:00.000Z</x:v>
      </x:c>
      <x:c r="C188" s="19" t="n">
        <x:v>3282262833</x:v>
      </x:c>
      <x:c r="D188" s="19" t="n">
        <x:v>2019458943</x:v>
      </x:c>
      <x:c r="E188" s="19" t="n">
        <x:v>672471151</x:v>
      </x:c>
      <x:c r="F188" s="19" t="n">
        <x:v>1174312149</x:v>
      </x:c>
      <x:c r="G188" s="19" t="n">
        <x:v>314827762</x:v>
      </x:c>
      <x:c r="H188" s="19" t="n">
        <x:v>109519796</x:v>
      </x:c>
      <x:c r="I188" s="19" t="n">
        <x:v>122571462</x:v>
      </x:c>
      <x:c r="J188" s="19" t="n">
        <x:v>52746065</x:v>
      </x:c>
      <x:c r="K188" s="19" t="n">
        <x:v>845894235</x:v>
      </x:c>
    </x:row>
    <x:row r="189" ht="22" customHeight="1">
      <x:c r="A189" s="15" t="str">
        <x:v>Республика Корея</x:v>
      </x:c>
      <x:c r="B189" s="20" t="d">
        <x:v>2024-03-01T00:00:00.000Z</x:v>
      </x:c>
      <x:c r="C189" s="19" t="n">
        <x:v>3371658159</x:v>
      </x:c>
      <x:c r="D189" s="19" t="n">
        <x:v>2388485343</x:v>
      </x:c>
      <x:c r="E189" s="19" t="n">
        <x:v>897943630</x:v>
      </x:c>
      <x:c r="F189" s="19" t="n">
        <x:v>1389407353</x:v>
      </x:c>
      <x:c r="G189" s="19" t="n">
        <x:v>366529147</x:v>
      </x:c>
      <x:c r="H189" s="19" t="n">
        <x:v>109729570</x:v>
      </x:c>
      <x:c r="I189" s="19" t="n">
        <x:v>173581547</x:v>
      </x:c>
      <x:c r="J189" s="19" t="n">
        <x:v>60876690</x:v>
      </x:c>
      <x:c r="K189" s="19" t="n">
        <x:v>798787429</x:v>
      </x:c>
    </x:row>
    <x:row r="190" ht="22" customHeight="1">
      <x:c r="A190" s="15" t="str">
        <x:v>Республика Корея</x:v>
      </x:c>
      <x:c r="B190" s="20" t="d">
        <x:v>2024-04-01T00:00:00.000Z</x:v>
      </x:c>
      <x:c r="C190" s="19" t="n">
        <x:v>3165170485</x:v>
      </x:c>
      <x:c r="D190" s="19" t="n">
        <x:v>1876172570</x:v>
      </x:c>
      <x:c r="E190" s="19" t="n">
        <x:v>978321518</x:v>
      </x:c>
      <x:c r="F190" s="19" t="n">
        <x:v>1151039947</x:v>
      </x:c>
      <x:c r="G190" s="19" t="n">
        <x:v>307402603</x:v>
      </x:c>
      <x:c r="H190" s="19" t="n">
        <x:v>138910939</x:v>
      </x:c>
      <x:c r="I190" s="19" t="n">
        <x:v>229242889</x:v>
      </x:c>
      <x:c r="J190" s="19" t="n">
        <x:v>43147785</x:v>
      </x:c>
      <x:c r="K190" s="19" t="n">
        <x:v>701830556</x:v>
      </x:c>
    </x:row>
    <x:row r="191" ht="22" customHeight="1">
      <x:c r="A191" s="15" t="str">
        <x:v>Республика Корея</x:v>
      </x:c>
      <x:c r="B191" s="20" t="d">
        <x:v>2024-05-01T00:00:00.000Z</x:v>
      </x:c>
      <x:c r="C191" s="19" t="n">
        <x:v>3868689528</x:v>
      </x:c>
      <x:c r="D191" s="19" t="n">
        <x:v>1793402756</x:v>
      </x:c>
      <x:c r="E191" s="19" t="n">
        <x:v>1334782339</x:v>
      </x:c>
      <x:c r="F191" s="19" t="n">
        <x:v>1307741362</x:v>
      </x:c>
      <x:c r="G191" s="19" t="n">
        <x:v>401470401</x:v>
      </x:c>
      <x:c r="H191" s="19" t="n">
        <x:v>192317339</x:v>
      </x:c>
      <x:c r="I191" s="19" t="n">
        <x:v>125568008</x:v>
      </x:c>
      <x:c r="J191" s="19" t="n">
        <x:v>71991111</x:v>
      </x:c>
      <x:c r="K191" s="19" t="n">
        <x:v>688432638</x:v>
      </x:c>
    </x:row>
    <x:row r="192" ht="22" customHeight="1">
      <x:c r="A192" s="15" t="str">
        <x:v>Республика Корея</x:v>
      </x:c>
      <x:c r="B192" s="20" t="d">
        <x:v>2024-06-01T00:00:00.000Z</x:v>
      </x:c>
      <x:c r="C192" s="19" t="n">
        <x:v>3741369870</x:v>
      </x:c>
      <x:c r="D192" s="19" t="n">
        <x:v>2386194782</x:v>
      </x:c>
      <x:c r="E192" s="19" t="n">
        <x:v>1978406035</x:v>
      </x:c>
      <x:c r="F192" s="19" t="n">
        <x:v>1587162035</x:v>
      </x:c>
      <x:c r="G192" s="19" t="n">
        <x:v>417984476</x:v>
      </x:c>
      <x:c r="H192" s="19" t="n">
        <x:v>138969645</x:v>
      </x:c>
      <x:c r="I192" s="19" t="n">
        <x:v>98926620</x:v>
      </x:c>
      <x:c r="J192" s="19" t="n">
        <x:v>51615875</x:v>
      </x:c>
      <x:c r="K192" s="19" t="n">
        <x:v>783916688</x:v>
      </x:c>
    </x:row>
    <x:row r="193" ht="22" customHeight="1">
      <x:c r="A193" s="15" t="str">
        <x:v>Республика Корея</x:v>
      </x:c>
      <x:c r="B193" s="20" t="d">
        <x:v>2024-07-01T00:00:00.000Z</x:v>
      </x:c>
      <x:c r="C193" s="19" t="n">
        <x:v>3692009179</x:v>
      </x:c>
      <x:c r="D193" s="19" t="n">
        <x:v>1649062833</x:v>
      </x:c>
      <x:c r="E193" s="19" t="n">
        <x:v>1760637416</x:v>
      </x:c>
      <x:c r="F193" s="19" t="n">
        <x:v>1317274843</x:v>
      </x:c>
      <x:c r="G193" s="19" t="n">
        <x:v>260392970</x:v>
      </x:c>
      <x:c r="H193" s="19" t="n">
        <x:v>152326516</x:v>
      </x:c>
      <x:c r="I193" s="19" t="n">
        <x:v>116408322</x:v>
      </x:c>
      <x:c r="J193" s="19" t="n">
        <x:v>68655429</x:v>
      </x:c>
      <x:c r="K193" s="19" t="n">
        <x:v>684112187</x:v>
      </x:c>
    </x:row>
    <x:row r="194" ht="22" customHeight="1">
      <x:c r="A194" s="15" t="str">
        <x:v>Республика Корея</x:v>
      </x:c>
      <x:c r="B194" s="20" t="d">
        <x:v>2024-08-01T00:00:00.000Z</x:v>
      </x:c>
      <x:c r="C194" s="19" t="n">
        <x:v>3375854612</x:v>
      </x:c>
      <x:c r="D194" s="19" t="n">
        <x:v>1847681117</x:v>
      </x:c>
      <x:c r="E194" s="19" t="n">
        <x:v>1964443999</x:v>
      </x:c>
      <x:c r="F194" s="19" t="n">
        <x:v>1362756369</x:v>
      </x:c>
      <x:c r="G194" s="19" t="n">
        <x:v>272294319</x:v>
      </x:c>
      <x:c r="H194" s="19" t="n">
        <x:v>199340969</x:v>
      </x:c>
      <x:c r="I194" s="19" t="n">
        <x:v>124478406</x:v>
      </x:c>
      <x:c r="J194" s="19" t="n">
        <x:v>66121072</x:v>
      </x:c>
      <x:c r="K194" s="19" t="n">
        <x:v>887515081</x:v>
      </x:c>
    </x:row>
    <x:row r="195" ht="22" customHeight="1">
      <x:c r="A195" s="15" t="str">
        <x:v>Республика Корея</x:v>
      </x:c>
      <x:c r="B195" s="20" t="d">
        <x:v>2024-09-01T00:00:00.000Z</x:v>
      </x:c>
      <x:c r="C195" s="19" t="n">
        <x:v>3573024075</x:v>
      </x:c>
      <x:c r="D195" s="19" t="n">
        <x:v>2150530470</x:v>
      </x:c>
      <x:c r="E195" s="19" t="n">
        <x:v>2557242343</x:v>
      </x:c>
      <x:c r="F195" s="19" t="n">
        <x:v>1521769405</x:v>
      </x:c>
      <x:c r="G195" s="19" t="n">
        <x:v>308477919</x:v>
      </x:c>
      <x:c r="H195" s="19" t="n">
        <x:v>188168616</x:v>
      </x:c>
      <x:c r="I195" s="19" t="n">
        <x:v>161524508</x:v>
      </x:c>
      <x:c r="J195" s="19" t="n">
        <x:v>39845000</x:v>
      </x:c>
      <x:c r="K195" s="19" t="n">
        <x:v>793297821</x:v>
      </x:c>
    </x:row>
    <x:row r="196" ht="22" customHeight="1">
      <x:c r="A196" s="15" t="str">
        <x:v>Республика Корея</x:v>
      </x:c>
      <x:c r="B196" s="20" t="d">
        <x:v>2024-10-01T00:00:00.000Z</x:v>
      </x:c>
      <x:c r="C196" s="19" t="n">
        <x:v>3691299203</x:v>
      </x:c>
      <x:c r="D196" s="19" t="n">
        <x:v>1388424758</x:v>
      </x:c>
      <x:c r="E196" s="19" t="n">
        <x:v>2457143324</x:v>
      </x:c>
      <x:c r="F196" s="19" t="n">
        <x:v>1676651888</x:v>
      </x:c>
      <x:c r="G196" s="19" t="n">
        <x:v>270771371</x:v>
      </x:c>
      <x:c r="H196" s="19" t="n">
        <x:v>165010205</x:v>
      </x:c>
      <x:c r="I196" s="19" t="n">
        <x:v>144739233</x:v>
      </x:c>
      <x:c r="J196" s="19" t="n">
        <x:v>51105190</x:v>
      </x:c>
      <x:c r="K196" s="19" t="n">
        <x:v>959400015</x:v>
      </x:c>
    </x:row>
    <x:row r="197" ht="22" customHeight="1">
      <x:c r="A197" s="15" t="str">
        <x:v>Республика Корея</x:v>
      </x:c>
      <x:c r="B197" s="20" t="d">
        <x:v>2024-11-01T00:00:00.000Z</x:v>
      </x:c>
      <x:c r="C197" s="19" t="n">
        <x:v>3520561786</x:v>
      </x:c>
      <x:c r="D197" s="19" t="n">
        <x:v>1611042555</x:v>
      </x:c>
      <x:c r="E197" s="19" t="n">
        <x:v>2213153474</x:v>
      </x:c>
      <x:c r="F197" s="19" t="n">
        <x:v>1609264391</x:v>
      </x:c>
      <x:c r="G197" s="19" t="n">
        <x:v>253028758</x:v>
      </x:c>
      <x:c r="H197" s="19" t="n">
        <x:v>116349665</x:v>
      </x:c>
      <x:c r="I197" s="19" t="n">
        <x:v>167623017</x:v>
      </x:c>
      <x:c r="J197" s="19" t="n">
        <x:v>53007778</x:v>
      </x:c>
      <x:c r="K197" s="19" t="n">
        <x:v>845805744</x:v>
      </x:c>
    </x:row>
    <x:row r="198" ht="22" customHeight="1">
      <x:c r="A198" s="15" t="str">
        <x:v>Республика Корея</x:v>
      </x:c>
      <x:c r="B198" s="20" t="d">
        <x:v>2024-12-01T00:00:00.000Z</x:v>
      </x:c>
      <x:c r="C198" s="19" t="n">
        <x:v>3591310152</x:v>
      </x:c>
      <x:c r="D198" s="19" t="n">
        <x:v>2333996910</x:v>
      </x:c>
      <x:c r="E198" s="19" t="n">
        <x:v>2888048869</x:v>
      </x:c>
      <x:c r="F198" s="19" t="n">
        <x:v>1404877826</x:v>
      </x:c>
      <x:c r="G198" s="19" t="n">
        <x:v>335289705</x:v>
      </x:c>
      <x:c r="H198" s="19" t="n">
        <x:v>149028027</x:v>
      </x:c>
      <x:c r="I198" s="19" t="n">
        <x:v>116961240</x:v>
      </x:c>
      <x:c r="J198" s="19" t="n">
        <x:v>46795479</x:v>
      </x:c>
      <x:c r="K198" s="19" t="n">
        <x:v>778406464</x:v>
      </x:c>
    </x:row>
  </x:sheetData>
  <x:pageMargins left="0.7" right="0.7" top="0.75" bottom="0.75" header="0.3" footer="0.3"/>
</x:worksheet>
</file>